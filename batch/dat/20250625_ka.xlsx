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真屋合同会社\60.プロジェクト\放課後等デイサービスの来退所通知アプリ（仮）\"/>
    </mc:Choice>
  </mc:AlternateContent>
  <xr:revisionPtr revIDLastSave="0" documentId="13_ncr:1_{E5ADD381-5873-4794-B7EF-C3C55CF83041}" xr6:coauthVersionLast="47" xr6:coauthVersionMax="47" xr10:uidLastSave="{00000000-0000-0000-0000-000000000000}"/>
  <workbookProtection workbookAlgorithmName="SHA-512" workbookHashValue="MtpqnCKWkkQThX999MNtSHFvAQ5tmvbWBcyWZxgVL1UDYIrgwS4Wd0NtZQnbcSSbvjy4XkEUUCZnEETX/vlMHw==" workbookSaltValue="WH9IDkZulB8Oe8BSE/W8rA==" workbookSpinCount="100000" lockStructure="1"/>
  <bookViews>
    <workbookView xWindow="1170" yWindow="1170" windowWidth="18765" windowHeight="19770" xr2:uid="{B99349D0-CA12-4A71-B7EA-AF341EB2E483}"/>
  </bookViews>
  <sheets>
    <sheet name="受給者証情報CSV-直近1年分" sheetId="4" r:id="rId1"/>
    <sheet name="利用者情報　一覧(障害)-照会画面" sheetId="1" r:id="rId2"/>
    <sheet name="職員情報CSV" sheetId="2" r:id="rId3"/>
    <sheet name="利用者情報CSV" sheetId="3" r:id="rId4"/>
    <sheet name="予定・実績管理 全児童-2025年6月" sheetId="5" state="hidden" r:id="rId5"/>
    <sheet name="予定・実績管理 全児童-2025年6月 (伏字)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3" l="1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G93" i="6"/>
  <c r="F93" i="6"/>
  <c r="E93" i="6"/>
  <c r="D93" i="6"/>
  <c r="C93" i="6"/>
  <c r="B93" i="6"/>
  <c r="B92" i="6"/>
  <c r="G95" i="6"/>
  <c r="F95" i="6"/>
  <c r="E95" i="6"/>
  <c r="D95" i="6"/>
  <c r="C95" i="6"/>
  <c r="B95" i="6"/>
  <c r="G94" i="6"/>
  <c r="F94" i="6"/>
  <c r="E94" i="6"/>
  <c r="D94" i="6"/>
  <c r="C94" i="6"/>
  <c r="B94" i="6"/>
  <c r="G92" i="6"/>
  <c r="F92" i="6"/>
  <c r="E92" i="6"/>
  <c r="D92" i="6"/>
  <c r="C92" i="6"/>
  <c r="B91" i="6"/>
  <c r="G91" i="6"/>
  <c r="F91" i="6"/>
  <c r="E91" i="6"/>
  <c r="D91" i="6"/>
  <c r="C91" i="6"/>
  <c r="B86" i="6"/>
  <c r="B87" i="6"/>
  <c r="B85" i="6"/>
  <c r="B84" i="6"/>
  <c r="B83" i="6"/>
  <c r="B82" i="6"/>
  <c r="B81" i="6"/>
  <c r="B80" i="6"/>
  <c r="B79" i="6"/>
  <c r="B78" i="6"/>
  <c r="B77" i="6"/>
  <c r="B76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7" i="3"/>
  <c r="O6" i="3"/>
  <c r="O5" i="3"/>
  <c r="O4" i="3"/>
  <c r="O3" i="3"/>
  <c r="O2" i="3"/>
  <c r="O8" i="3"/>
  <c r="Q2" i="2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D98" i="1"/>
</calcChain>
</file>

<file path=xl/sharedStrings.xml><?xml version="1.0" encoding="utf-8"?>
<sst xmlns="http://schemas.openxmlformats.org/spreadsheetml/2006/main" count="4055" uniqueCount="1056">
  <si>
    <t>利用者名</t>
  </si>
  <si>
    <t>利用者名（伏字）</t>
    <rPh sb="5" eb="7">
      <t>フセジ</t>
    </rPh>
    <phoneticPr fontId="4"/>
  </si>
  <si>
    <t>利用者カナ</t>
  </si>
  <si>
    <t>利用者カナ（伏字）</t>
    <rPh sb="6" eb="8">
      <t>フセジ</t>
    </rPh>
    <phoneticPr fontId="4"/>
  </si>
  <si>
    <t>認定区分</t>
  </si>
  <si>
    <t>市町村番号</t>
  </si>
  <si>
    <t>市町村名</t>
  </si>
  <si>
    <t>受給者証番号</t>
  </si>
  <si>
    <t>交付年月日</t>
  </si>
  <si>
    <t>給付決定開始年月日</t>
  </si>
  <si>
    <t>給付決定終了年月日</t>
  </si>
  <si>
    <t>障害児名</t>
  </si>
  <si>
    <t>障害児名（伏字）</t>
    <rPh sb="5" eb="7">
      <t>フセジ</t>
    </rPh>
    <phoneticPr fontId="4"/>
  </si>
  <si>
    <t>障害児カナ</t>
  </si>
  <si>
    <t>障害児カナ（伏字）</t>
    <rPh sb="6" eb="8">
      <t>フセジ</t>
    </rPh>
    <phoneticPr fontId="4"/>
  </si>
  <si>
    <t>障害児性別</t>
  </si>
  <si>
    <t>障害児生年月日</t>
  </si>
  <si>
    <t>サービス開始年月日</t>
  </si>
  <si>
    <t>多子軽減対象区分</t>
  </si>
  <si>
    <t>個別サポート加算（Ⅰ）</t>
  </si>
  <si>
    <t>個別サポート加算（Ⅱ）</t>
  </si>
  <si>
    <t>個別サポート加算（Ⅲ）</t>
  </si>
  <si>
    <t>利用者負担割合（原則）</t>
  </si>
  <si>
    <t>負担上限月額</t>
  </si>
  <si>
    <t>上限管理事業所</t>
  </si>
  <si>
    <t>決定サービス内容</t>
  </si>
  <si>
    <t>決定支給量</t>
  </si>
  <si>
    <t>支給決定開始日</t>
  </si>
  <si>
    <t>支給決定終了日</t>
  </si>
  <si>
    <t>契約支給事業所名</t>
  </si>
  <si>
    <t>契約サービス内容</t>
  </si>
  <si>
    <t>契約支給量</t>
  </si>
  <si>
    <t>契約日</t>
  </si>
  <si>
    <t>当該契約支給量によるサービス提供終了日</t>
  </si>
  <si>
    <t>指定相談支援事業所名</t>
  </si>
  <si>
    <t>西川 尚子</t>
  </si>
  <si>
    <t>ニシカワ ナオコ</t>
  </si>
  <si>
    <t>認定済</t>
  </si>
  <si>
    <t>高槻市</t>
  </si>
  <si>
    <t>西川 央祐</t>
  </si>
  <si>
    <t>ニシカワ オウスケ</t>
  </si>
  <si>
    <t>男</t>
  </si>
  <si>
    <t>対象外</t>
  </si>
  <si>
    <t>放課後等デイサービス（重症心身障害児以外）</t>
  </si>
  <si>
    <t>放課後等デイサービス　きららステム西冠</t>
  </si>
  <si>
    <t>山本 真佐史</t>
  </si>
  <si>
    <t>ヤマモト マサシ</t>
  </si>
  <si>
    <t>山本 頼</t>
  </si>
  <si>
    <t>ヤマモト ライ</t>
  </si>
  <si>
    <t>放課後等デイサービス　きららドリーム沢良木</t>
  </si>
  <si>
    <t>相談支援 チェリー・ハート</t>
  </si>
  <si>
    <t>古川 由香</t>
  </si>
  <si>
    <t>フルカワ ユカ</t>
  </si>
  <si>
    <t>古川 丈師</t>
  </si>
  <si>
    <t>フルカワ タケモト</t>
  </si>
  <si>
    <t>寺田 葉月</t>
  </si>
  <si>
    <t>テラダ ハヅキ</t>
  </si>
  <si>
    <t>寺田 蒼空</t>
  </si>
  <si>
    <t>テラダ ソラ</t>
  </si>
  <si>
    <t>中杉 久代</t>
  </si>
  <si>
    <t>ナカスギ ヒサヨ</t>
  </si>
  <si>
    <t>中杉 綸之介</t>
  </si>
  <si>
    <t>ナカスギ リンノスケ</t>
  </si>
  <si>
    <t>加藤 亜希子</t>
  </si>
  <si>
    <t>カトウ アキコ</t>
  </si>
  <si>
    <t>加藤 直人</t>
  </si>
  <si>
    <t>カトウ ナオト</t>
  </si>
  <si>
    <t>黒田 章乃</t>
  </si>
  <si>
    <t>クロダ アキノ</t>
  </si>
  <si>
    <t>黒田 結世</t>
  </si>
  <si>
    <t>クロダ ユウセイ</t>
  </si>
  <si>
    <t>阪本 和子</t>
  </si>
  <si>
    <t>サカモト カズコ</t>
  </si>
  <si>
    <t>阪本 悠真</t>
  </si>
  <si>
    <t>サカモト ユウマ</t>
  </si>
  <si>
    <t>対象</t>
  </si>
  <si>
    <t>本郷 麻佑</t>
  </si>
  <si>
    <t>ホンゴウ マユウ</t>
  </si>
  <si>
    <t>本郷 駿匠</t>
  </si>
  <si>
    <t>ホンゴウ シュンタ</t>
  </si>
  <si>
    <t>相談支援事業所すずらん</t>
  </si>
  <si>
    <t>増尾 智宏</t>
  </si>
  <si>
    <t>マスオ トモヒロ</t>
  </si>
  <si>
    <t>増尾 颯斗</t>
  </si>
  <si>
    <t>マスオ ハヤト</t>
  </si>
  <si>
    <t>こども相談支援センターwish</t>
  </si>
  <si>
    <t>松田 みずほ</t>
  </si>
  <si>
    <t>マツダ ミズホ</t>
  </si>
  <si>
    <t>松田 悠希</t>
  </si>
  <si>
    <t>マツダ ユウキ</t>
  </si>
  <si>
    <t>山本 木綿子</t>
  </si>
  <si>
    <t>ヤマモト ユウコ</t>
  </si>
  <si>
    <t>山本 佑成</t>
  </si>
  <si>
    <t>ヤマモト ユウセイ</t>
  </si>
  <si>
    <t>大矢 博美</t>
  </si>
  <si>
    <t>オオヤ ヒロミ</t>
  </si>
  <si>
    <t>大矢 莉穂</t>
  </si>
  <si>
    <t>オオヤ リホ</t>
  </si>
  <si>
    <t>女</t>
  </si>
  <si>
    <t>川上 春菜</t>
  </si>
  <si>
    <t>カワカミ ハルナ</t>
  </si>
  <si>
    <t>川上 遼太</t>
  </si>
  <si>
    <t>カワカミ リョウタ</t>
  </si>
  <si>
    <t>聖ヨハネ子どもセンター</t>
  </si>
  <si>
    <t>川元 美穂</t>
  </si>
  <si>
    <t>カワモト ミホ</t>
  </si>
  <si>
    <t>川元 舜太</t>
  </si>
  <si>
    <t>カワモト シュンタ</t>
  </si>
  <si>
    <t>寺迫 愛</t>
  </si>
  <si>
    <t>テラサコ アイ</t>
  </si>
  <si>
    <t>寺迫 紡</t>
  </si>
  <si>
    <t>テラサコ ツムグ</t>
  </si>
  <si>
    <t>樋口 広美</t>
  </si>
  <si>
    <t>ヒグチ ヒロミ</t>
  </si>
  <si>
    <t>樋口 瑛己</t>
  </si>
  <si>
    <t>ヒグチ エイキ</t>
  </si>
  <si>
    <t>村山 智美</t>
  </si>
  <si>
    <t>ムラヤマ トモミ</t>
  </si>
  <si>
    <t>村山 海渡</t>
  </si>
  <si>
    <t>ムラヤマ カイト</t>
  </si>
  <si>
    <t>山口 久恵</t>
  </si>
  <si>
    <t>ヤマクチ ヒサエ</t>
  </si>
  <si>
    <t>山口 岳</t>
  </si>
  <si>
    <t>ヤマクチ ガク</t>
  </si>
  <si>
    <t>藤本 祐太</t>
  </si>
  <si>
    <t>フジモト ユウタ</t>
  </si>
  <si>
    <t>茨木市</t>
  </si>
  <si>
    <t>藤本 悠希</t>
  </si>
  <si>
    <t>フジモト ユウキ</t>
  </si>
  <si>
    <t>なないろStudy</t>
  </si>
  <si>
    <t>井上 拓巳</t>
  </si>
  <si>
    <t>イノウエ タクミ</t>
  </si>
  <si>
    <t>井上 蒼介</t>
  </si>
  <si>
    <t>イノウエ ソウスケ</t>
  </si>
  <si>
    <t>大内 由香</t>
  </si>
  <si>
    <t>オオウチ ユカ</t>
  </si>
  <si>
    <t>大内 博登</t>
  </si>
  <si>
    <t>オオウチ ヒロト</t>
  </si>
  <si>
    <t>沖田 亜梨沙</t>
  </si>
  <si>
    <t>オキタ アリサ</t>
  </si>
  <si>
    <t>沖田 蒼真</t>
  </si>
  <si>
    <t>オキタ ソウマ</t>
  </si>
  <si>
    <t>相談支援事業所おれんじ</t>
  </si>
  <si>
    <t>神農 真由子</t>
  </si>
  <si>
    <t>カンノ マユコ</t>
  </si>
  <si>
    <t>神農 叶芽</t>
  </si>
  <si>
    <t>カンノ カナメ</t>
  </si>
  <si>
    <t>河野 美貴子</t>
  </si>
  <si>
    <t>コウノ ミキコ</t>
  </si>
  <si>
    <t>河野 圭悟</t>
  </si>
  <si>
    <t>コウノ ケイゴ</t>
  </si>
  <si>
    <t>野﨑 賜</t>
  </si>
  <si>
    <t>ノザキ メグム</t>
  </si>
  <si>
    <t>野﨑 瑞</t>
  </si>
  <si>
    <t>ノザキ スイ</t>
  </si>
  <si>
    <t>森本 響子</t>
  </si>
  <si>
    <t>モリモト キョウコ</t>
  </si>
  <si>
    <t>森本 凱翔</t>
  </si>
  <si>
    <t>モリモト ヨシト</t>
  </si>
  <si>
    <t>渡邉 智香子</t>
  </si>
  <si>
    <t>ワタナベ チカコ</t>
  </si>
  <si>
    <t>渡邉 尊</t>
  </si>
  <si>
    <t>ワタナベ タケル</t>
  </si>
  <si>
    <t>村野 博信</t>
  </si>
  <si>
    <t>ムラノ ヒロノブ</t>
  </si>
  <si>
    <t>村野 智紀</t>
  </si>
  <si>
    <t>ムラノ トモキ</t>
  </si>
  <si>
    <t>秋山 文子</t>
  </si>
  <si>
    <t>アキヤマ フミコ</t>
  </si>
  <si>
    <t>秋山 快翔</t>
  </si>
  <si>
    <t>アキヤマ カイト</t>
  </si>
  <si>
    <t>相談支援室おひさま＋</t>
  </si>
  <si>
    <t>熱田 薫</t>
  </si>
  <si>
    <t>アツタ カオル</t>
  </si>
  <si>
    <t>熱田 波音</t>
  </si>
  <si>
    <t>アツタ ハルト</t>
  </si>
  <si>
    <t>網野 郁絵</t>
  </si>
  <si>
    <t>アミノ イクエ</t>
  </si>
  <si>
    <t>網野 晴</t>
  </si>
  <si>
    <t>アミノ ハル</t>
  </si>
  <si>
    <t>家里 夏子</t>
  </si>
  <si>
    <t>イエサト ナツコ</t>
  </si>
  <si>
    <t>家里 義史</t>
  </si>
  <si>
    <t>イエサト ヨシフミ</t>
  </si>
  <si>
    <t>加藤 雄人</t>
  </si>
  <si>
    <t>カトウ ユウト</t>
  </si>
  <si>
    <t>高柳 綾</t>
  </si>
  <si>
    <t>タカヤナギ アヤ</t>
  </si>
  <si>
    <t>高柳 一輝</t>
  </si>
  <si>
    <t>タカヤナギ イツキ</t>
  </si>
  <si>
    <t>中原 栄子</t>
  </si>
  <si>
    <t>ナカハラ エイコ</t>
  </si>
  <si>
    <t>中原 蒼十朗</t>
  </si>
  <si>
    <t>ナカハラ ソウジュウロウ</t>
  </si>
  <si>
    <t>藤井 朋世</t>
  </si>
  <si>
    <t>フジイ トモヨ</t>
  </si>
  <si>
    <t>藤井 翔</t>
  </si>
  <si>
    <t>フジイ カケル</t>
  </si>
  <si>
    <t>藤井 翼</t>
  </si>
  <si>
    <t>フジイ ツバサ</t>
  </si>
  <si>
    <t>松村 珠代</t>
  </si>
  <si>
    <t>マツムラ タマヨ</t>
  </si>
  <si>
    <t>松村 一花</t>
  </si>
  <si>
    <t>マツムラ イチカ</t>
  </si>
  <si>
    <t>松本 豊美</t>
  </si>
  <si>
    <t>マツモト トヨミ</t>
  </si>
  <si>
    <t>松本 理佑</t>
  </si>
  <si>
    <t>マツモト リウ</t>
  </si>
  <si>
    <t>森本 雄詠</t>
  </si>
  <si>
    <t>モリモト ユウタ</t>
  </si>
  <si>
    <t>吉田 恵</t>
  </si>
  <si>
    <t>ヨシダ メグミ</t>
  </si>
  <si>
    <t>吉田 航</t>
  </si>
  <si>
    <t>ヨシダ ワタル</t>
  </si>
  <si>
    <t>芳之内 幸美</t>
  </si>
  <si>
    <t>ヨシノウチ ユキミ</t>
  </si>
  <si>
    <t>芳之内 一樹</t>
  </si>
  <si>
    <t>ヨシノウチ カズキ</t>
  </si>
  <si>
    <t>吉野 ひとみ</t>
  </si>
  <si>
    <t>ヨシノ ヒトミ</t>
  </si>
  <si>
    <t>吉野 佑哉</t>
  </si>
  <si>
    <t>ヨシノ ユウヤ</t>
  </si>
  <si>
    <t>高槻市うの花療育園</t>
  </si>
  <si>
    <t>天野 千寿子</t>
  </si>
  <si>
    <t>アマノ チズコ</t>
  </si>
  <si>
    <t>天野 月子</t>
  </si>
  <si>
    <t>アマノ ツキコ</t>
  </si>
  <si>
    <t>大井 貴美枝</t>
  </si>
  <si>
    <t>オオイ キミエ</t>
  </si>
  <si>
    <t>大井 美郁</t>
  </si>
  <si>
    <t>オオイ ミイク</t>
  </si>
  <si>
    <t>高槻市立療育園</t>
  </si>
  <si>
    <t>地蔵原 真弓</t>
  </si>
  <si>
    <t>ジゾウハラ マユミ</t>
  </si>
  <si>
    <t>地蔵原 湊大</t>
  </si>
  <si>
    <t>ジゾウハラ ソウタ</t>
  </si>
  <si>
    <t>髙木 鮎美</t>
  </si>
  <si>
    <t>タカギ アユミ</t>
  </si>
  <si>
    <t>髙木 慶吾</t>
  </si>
  <si>
    <t>タカギ ケイゴ</t>
  </si>
  <si>
    <t>濱田 くみ</t>
  </si>
  <si>
    <t>ハマダ クミ</t>
  </si>
  <si>
    <t>濱田 梨愛</t>
  </si>
  <si>
    <t>ハマダ リア</t>
  </si>
  <si>
    <t>満仲 絵里子</t>
  </si>
  <si>
    <t>ミツナカ エリコ</t>
  </si>
  <si>
    <t>満仲 雄大</t>
  </si>
  <si>
    <t>ミツナカ ユウダイ</t>
  </si>
  <si>
    <t>コペルプラスジュニア富田教室</t>
  </si>
  <si>
    <t>山本 梨瑚</t>
  </si>
  <si>
    <t>ヤマモト リコ</t>
  </si>
  <si>
    <t>山口 陽子</t>
  </si>
  <si>
    <t>ヤマグチ ヨウコ</t>
  </si>
  <si>
    <t>山口 莉舞</t>
  </si>
  <si>
    <t>ヤマグチ リマ</t>
  </si>
  <si>
    <t>筒水 葉子</t>
  </si>
  <si>
    <t>ツツミズ ヨウコ</t>
  </si>
  <si>
    <t>筒水 悠樹</t>
  </si>
  <si>
    <t>ツツミズ ユウキ</t>
  </si>
  <si>
    <t>小笠原 睦美</t>
  </si>
  <si>
    <t>オガサハラ ムツミ</t>
  </si>
  <si>
    <t>小笠原 駿</t>
  </si>
  <si>
    <t>オガサハラ シュン</t>
  </si>
  <si>
    <t>小見渕 郁乃</t>
  </si>
  <si>
    <t>オミブチ イクノ</t>
  </si>
  <si>
    <t>小見渕 統吾</t>
  </si>
  <si>
    <t>オミブチ トウゴ</t>
  </si>
  <si>
    <t>鎌倉 麻沙美</t>
  </si>
  <si>
    <t>カマクラ マサミ</t>
  </si>
  <si>
    <t>鎌倉 未来</t>
  </si>
  <si>
    <t>カマクラ ミクル</t>
  </si>
  <si>
    <t>川野 千沙子</t>
  </si>
  <si>
    <t>カワノ チサコ</t>
  </si>
  <si>
    <t>川野 智輝</t>
  </si>
  <si>
    <t>カワノ トモキ</t>
  </si>
  <si>
    <t>中西 恵</t>
  </si>
  <si>
    <t>ナカニシ メグミ</t>
  </si>
  <si>
    <t>中西 玲偉</t>
  </si>
  <si>
    <t>ナカニシ レイ</t>
  </si>
  <si>
    <t>中村 友里</t>
  </si>
  <si>
    <t>ナカムラ ユリ</t>
  </si>
  <si>
    <t>中村 大輝</t>
  </si>
  <si>
    <t>ナカムラ タイキ</t>
  </si>
  <si>
    <t>松村 晴道</t>
  </si>
  <si>
    <t>マツムラ ハルミチ</t>
  </si>
  <si>
    <t>三浦 麻美</t>
  </si>
  <si>
    <t>ミウラ アサミ</t>
  </si>
  <si>
    <t>三浦 峻二朗</t>
  </si>
  <si>
    <t>ミウラ シュンジロウ</t>
  </si>
  <si>
    <t>角 眞紀枝</t>
  </si>
  <si>
    <t>スミ マキエ</t>
  </si>
  <si>
    <t>角 朋樹</t>
  </si>
  <si>
    <t>スミ トモキ</t>
  </si>
  <si>
    <t>伊藤 麻紀子</t>
  </si>
  <si>
    <t>イトウ マキコ</t>
  </si>
  <si>
    <t>伊藤 実乃里</t>
  </si>
  <si>
    <t>イトウ ミノリ</t>
  </si>
  <si>
    <t>神前 葉瑠香</t>
  </si>
  <si>
    <t>コウザキ ハルカ</t>
  </si>
  <si>
    <t>神前 琉伎</t>
  </si>
  <si>
    <t>コウザキ リキ</t>
  </si>
  <si>
    <t>輝</t>
  </si>
  <si>
    <t>清水 宰</t>
  </si>
  <si>
    <t>シミズ ツカサ</t>
  </si>
  <si>
    <t>清水 悠</t>
  </si>
  <si>
    <t>シミズ ハルカ</t>
  </si>
  <si>
    <t>ひまわり</t>
  </si>
  <si>
    <t>武山 明菜</t>
  </si>
  <si>
    <t>タケヤマ アキナ</t>
  </si>
  <si>
    <t>武山 紘太朗</t>
  </si>
  <si>
    <t>タケヤマ コウタロウ</t>
  </si>
  <si>
    <t>春木 早百合</t>
  </si>
  <si>
    <t>ハルキ サユリ</t>
  </si>
  <si>
    <t>春木 嶺汰</t>
  </si>
  <si>
    <t>ハルキ リヨウタ</t>
  </si>
  <si>
    <t>柳井 春江</t>
  </si>
  <si>
    <t>ヤナイ ハルエ</t>
  </si>
  <si>
    <t>柳井 琢磨</t>
  </si>
  <si>
    <t>ヤナイ タクマ</t>
  </si>
  <si>
    <t>松井 幸子</t>
  </si>
  <si>
    <t>マツイ ユキコ</t>
  </si>
  <si>
    <t>松井 亮弥</t>
  </si>
  <si>
    <t>マツイ リョウヤ</t>
  </si>
  <si>
    <t>石原 由紀子</t>
  </si>
  <si>
    <t>イシハラ ユキコ</t>
  </si>
  <si>
    <t>石原 悠晴</t>
  </si>
  <si>
    <t>イシハラ ユウセイ</t>
  </si>
  <si>
    <t>伊藤 真菜</t>
  </si>
  <si>
    <t>イトウ マナ</t>
  </si>
  <si>
    <t>伊藤 夏向</t>
  </si>
  <si>
    <t>イトウ カナタ</t>
  </si>
  <si>
    <t>今西 由佳</t>
  </si>
  <si>
    <t>イマニシ ユカ</t>
  </si>
  <si>
    <t>今西 芽生</t>
  </si>
  <si>
    <t>イマニシ メイ</t>
  </si>
  <si>
    <t>上浦 智美</t>
  </si>
  <si>
    <t>ウエウラ トモミ</t>
  </si>
  <si>
    <t>上浦 弘貴</t>
  </si>
  <si>
    <t>ウエウラ ヒロキ</t>
  </si>
  <si>
    <t>ぽっぽ児童サービス</t>
  </si>
  <si>
    <t>遠藤 里香</t>
  </si>
  <si>
    <t>エンドウ リカ</t>
  </si>
  <si>
    <t>遠藤 蒼太</t>
  </si>
  <si>
    <t>エンドウ ソウタ</t>
  </si>
  <si>
    <t>甲斐 江理</t>
  </si>
  <si>
    <t>カイ エリ</t>
  </si>
  <si>
    <t>甲斐 友惺</t>
  </si>
  <si>
    <t>カイ ユウセイ</t>
  </si>
  <si>
    <t>川路 千恵</t>
  </si>
  <si>
    <t>カワジ チエ</t>
  </si>
  <si>
    <t>川路 拓夢</t>
  </si>
  <si>
    <t>カワジ タクム</t>
  </si>
  <si>
    <t>高松 日歩美</t>
  </si>
  <si>
    <t>タカマツ ヒフミ</t>
  </si>
  <si>
    <t>高松 奏</t>
  </si>
  <si>
    <t>タカマツ ソウ</t>
  </si>
  <si>
    <t>辻 里沙</t>
  </si>
  <si>
    <t>ツジ リサ</t>
  </si>
  <si>
    <t>辻 航史朗</t>
  </si>
  <si>
    <t>ツジ コウシロウ</t>
  </si>
  <si>
    <t>富岡 和子</t>
  </si>
  <si>
    <t>トミオカ カズコ</t>
  </si>
  <si>
    <t>富岡 響希</t>
  </si>
  <si>
    <t>トミオカ ヒビキ</t>
  </si>
  <si>
    <t>内藤 有由美</t>
  </si>
  <si>
    <t>ナイトウ アユミ</t>
  </si>
  <si>
    <t>内藤 聡祐</t>
  </si>
  <si>
    <t>ナイトウ ソウスケ</t>
  </si>
  <si>
    <t>リコリズム</t>
  </si>
  <si>
    <t>林 純子</t>
  </si>
  <si>
    <t>ハヤシ ジユンコ</t>
  </si>
  <si>
    <t>林 航希</t>
  </si>
  <si>
    <t>ハヤシ コウキ</t>
  </si>
  <si>
    <t>藤井 雅美</t>
  </si>
  <si>
    <t>フジイ マサミ</t>
  </si>
  <si>
    <t>藤井 亮太</t>
  </si>
  <si>
    <t>フジイ リヨウタ</t>
  </si>
  <si>
    <t>本郷 蔵之介</t>
  </si>
  <si>
    <t>ホンゴウ クラノスケ</t>
  </si>
  <si>
    <t>松岡 紀代子</t>
  </si>
  <si>
    <t>マツオカ キヨコ</t>
  </si>
  <si>
    <t>松岡 美希</t>
  </si>
  <si>
    <t>マツオカ ミキ</t>
  </si>
  <si>
    <t>安本 ちひろ</t>
  </si>
  <si>
    <t>ヤスモト チヒロ</t>
  </si>
  <si>
    <t>安本 善哉</t>
  </si>
  <si>
    <t>ヤスモト ヨシヤ</t>
  </si>
  <si>
    <t>み・らいずスクールたかつき２</t>
  </si>
  <si>
    <t>脇本 秀史</t>
  </si>
  <si>
    <t>ワキモト ヒデシ</t>
  </si>
  <si>
    <t>脇本 海大朗</t>
  </si>
  <si>
    <t>ワキモト ウミタロウ</t>
  </si>
  <si>
    <t>甲斐 蓮惺</t>
  </si>
  <si>
    <t>カイ レンセイ</t>
  </si>
  <si>
    <t>木下 美樹</t>
  </si>
  <si>
    <t>キノシタ ミキ</t>
  </si>
  <si>
    <t>木下 雲日</t>
  </si>
  <si>
    <t>キノシタ ユクヒ</t>
  </si>
  <si>
    <t>nanairoブランコ2号店</t>
  </si>
  <si>
    <t>桐島 麻利子</t>
  </si>
  <si>
    <t>キリシマ マリコ</t>
  </si>
  <si>
    <t>桐島 維織</t>
  </si>
  <si>
    <t>キリシマ イオリ</t>
  </si>
  <si>
    <t>佐藤 圭</t>
  </si>
  <si>
    <t>サトウ ケイ</t>
  </si>
  <si>
    <t>枚方市</t>
  </si>
  <si>
    <t>佐藤 結虎</t>
  </si>
  <si>
    <t>サトウ ユウト</t>
  </si>
  <si>
    <t>ちあふるスクール枚方</t>
  </si>
  <si>
    <t>島田 美鈴</t>
  </si>
  <si>
    <t>シマダ ミスズ</t>
  </si>
  <si>
    <t>島田 睦生</t>
  </si>
  <si>
    <t>シマダ ムツキ</t>
  </si>
  <si>
    <t>寺本 典子</t>
  </si>
  <si>
    <t>テラモト ノリコ</t>
  </si>
  <si>
    <t>寺本 和真</t>
  </si>
  <si>
    <t>テラモト カズマサ</t>
  </si>
  <si>
    <t>中村 暢子</t>
  </si>
  <si>
    <t>ナカムラ ノブコ</t>
  </si>
  <si>
    <t>中村 颯人</t>
  </si>
  <si>
    <t>ナカムラ ハヤト</t>
  </si>
  <si>
    <t>あさがおクラブ</t>
  </si>
  <si>
    <t>山崎 修二</t>
  </si>
  <si>
    <t>ヤマサキ シュウジ</t>
  </si>
  <si>
    <t>山崎 凪斗</t>
  </si>
  <si>
    <t>ヤマサキ ナギト</t>
  </si>
  <si>
    <t>ウィズ・ユー枚方</t>
  </si>
  <si>
    <t>山崎 惇介</t>
  </si>
  <si>
    <t>ヤマサキ シュンスケ</t>
  </si>
  <si>
    <t>浅井 美貴</t>
  </si>
  <si>
    <t>アサイ ミキ</t>
  </si>
  <si>
    <t>浅井 塁偉</t>
  </si>
  <si>
    <t>アサイ ルイ</t>
  </si>
  <si>
    <t>甲斐 希乃花</t>
  </si>
  <si>
    <t>カイ ノノカ</t>
  </si>
  <si>
    <t>川野 拓海</t>
  </si>
  <si>
    <t>カワノ タクミ</t>
  </si>
  <si>
    <t>川人 和奈</t>
  </si>
  <si>
    <t>カワヒト カナ</t>
  </si>
  <si>
    <t>川人 禄</t>
  </si>
  <si>
    <t>カワヒト ロク</t>
  </si>
  <si>
    <t>工藤 智恵子</t>
  </si>
  <si>
    <t>クドウ チエコ</t>
  </si>
  <si>
    <t>工藤 雄斗</t>
  </si>
  <si>
    <t>クドウ ユウト</t>
  </si>
  <si>
    <t>佐田 美里</t>
  </si>
  <si>
    <t>サダ ミサト</t>
  </si>
  <si>
    <t>佐田 陸翔</t>
  </si>
  <si>
    <t>サダ リクト</t>
  </si>
  <si>
    <t>遠山 路子</t>
  </si>
  <si>
    <t>トオヤマ ミチコ</t>
  </si>
  <si>
    <t>遠山 桃弥</t>
  </si>
  <si>
    <t>トオヤマ トウヤ</t>
  </si>
  <si>
    <t>富岡 雫</t>
  </si>
  <si>
    <t>トミオカ シズク</t>
  </si>
  <si>
    <t>服部 愛</t>
  </si>
  <si>
    <t>ハットリ アイ</t>
  </si>
  <si>
    <t>服部 由侑</t>
  </si>
  <si>
    <t>ハットリ ユウ</t>
  </si>
  <si>
    <t>小路 あや</t>
  </si>
  <si>
    <t>コミチ アヤ</t>
  </si>
  <si>
    <t>小路 朔也</t>
  </si>
  <si>
    <t>コミチ サクヤ</t>
  </si>
  <si>
    <t>尾崎 剛史</t>
  </si>
  <si>
    <t>オザキ タケシ</t>
  </si>
  <si>
    <t>尾崎 翼</t>
  </si>
  <si>
    <t>オザキ ツバサ</t>
  </si>
  <si>
    <t>笹岡 純子</t>
  </si>
  <si>
    <t>ササオカ ジユンコ</t>
  </si>
  <si>
    <t>笹岡 奏太</t>
  </si>
  <si>
    <t>ササオカ ソウタ</t>
  </si>
  <si>
    <t>西田 由佳</t>
  </si>
  <si>
    <t>ニシダ ユカ</t>
  </si>
  <si>
    <t>西田 幸生</t>
  </si>
  <si>
    <t>ニシダ ユキオ</t>
  </si>
  <si>
    <t>藤本 恵</t>
  </si>
  <si>
    <t>フジモト メグミ</t>
  </si>
  <si>
    <t>藤本 聖</t>
  </si>
  <si>
    <t>フジモト アキラ</t>
  </si>
  <si>
    <t>すばはぐ</t>
  </si>
  <si>
    <t>村山 聡美</t>
  </si>
  <si>
    <t>ムラヤマ サトミ</t>
  </si>
  <si>
    <t>山岡 朋子</t>
  </si>
  <si>
    <t>ヤマオカ トモコ</t>
  </si>
  <si>
    <t>山岡 隆星</t>
  </si>
  <si>
    <t>ヤマオカ リュウセイ</t>
  </si>
  <si>
    <t>エフワン</t>
  </si>
  <si>
    <t>土橋 愛</t>
  </si>
  <si>
    <t>ドバシ アイ</t>
  </si>
  <si>
    <t>土橋 柚希</t>
  </si>
  <si>
    <t>ドバシ ユズキ</t>
  </si>
  <si>
    <t>ＴＡＫＵＭＩ高槻</t>
  </si>
  <si>
    <t>利用者名（伏字）</t>
    <rPh sb="0" eb="3">
      <t>リヨウシャ</t>
    </rPh>
    <rPh sb="3" eb="4">
      <t>メイ</t>
    </rPh>
    <rPh sb="5" eb="7">
      <t>フセジ</t>
    </rPh>
    <phoneticPr fontId="4"/>
  </si>
  <si>
    <t>児童名</t>
  </si>
  <si>
    <t>児童名（伏字）</t>
    <rPh sb="0" eb="2">
      <t>ジドウ</t>
    </rPh>
    <rPh sb="2" eb="3">
      <t>メイ</t>
    </rPh>
    <rPh sb="4" eb="6">
      <t>フセジ</t>
    </rPh>
    <phoneticPr fontId="4"/>
  </si>
  <si>
    <t>生年月日</t>
  </si>
  <si>
    <t>住所(都道府県/市区町村)</t>
  </si>
  <si>
    <t>受給者</t>
  </si>
  <si>
    <t>受給者証適用期間</t>
  </si>
  <si>
    <t>電話番号</t>
  </si>
  <si>
    <t>電話番号（伏字）</t>
    <rPh sb="5" eb="7">
      <t>フセジ</t>
    </rPh>
    <phoneticPr fontId="4"/>
  </si>
  <si>
    <t>利用者</t>
  </si>
  <si>
    <t>証番号</t>
  </si>
  <si>
    <t>の状態</t>
  </si>
  <si>
    <t>高柳 一輝</t>
  </si>
  <si>
    <t>大阪府 高槻市</t>
  </si>
  <si>
    <t>令和6年10月1日から令和7年9月30日まで</t>
  </si>
  <si>
    <t>072-671-4854</t>
  </si>
  <si>
    <t>利用中</t>
  </si>
  <si>
    <t>武山 紘太朗</t>
  </si>
  <si>
    <t>令和7年1月1日から令和7年12月31日まで</t>
  </si>
  <si>
    <t>辻 航史朗</t>
  </si>
  <si>
    <t>令和7年2月1日から令和8年1月31日まで</t>
  </si>
  <si>
    <t>寺迫 紡</t>
  </si>
  <si>
    <t>令和6年8月1日から令和7年7月31日まで</t>
  </si>
  <si>
    <t>寺本 和真</t>
  </si>
  <si>
    <t>令和7年3月1日から令和8年2月28日まで</t>
  </si>
  <si>
    <t>072-675-1386</t>
  </si>
  <si>
    <t>遠山 桃弥</t>
  </si>
  <si>
    <t>令和7年4月1日から令和8年3月31日まで</t>
  </si>
  <si>
    <t>072-628-8284</t>
  </si>
  <si>
    <t>富岡 響希</t>
  </si>
  <si>
    <t>072-628-4318</t>
  </si>
  <si>
    <t>富岡 雫</t>
  </si>
  <si>
    <t>土橋 柚希</t>
  </si>
  <si>
    <t>令和7年6月1日から令和8年5月31日まで</t>
  </si>
  <si>
    <t>072-655-5145</t>
  </si>
  <si>
    <t>内藤 聡祐</t>
  </si>
  <si>
    <t>072-629-4359</t>
  </si>
  <si>
    <t>中西 玲偉</t>
  </si>
  <si>
    <t>令和6年12月1日から令和7年11月30日まで</t>
  </si>
  <si>
    <t>中原 蒼十朗</t>
  </si>
  <si>
    <t>072-696-6321</t>
  </si>
  <si>
    <t>中村 颯人</t>
  </si>
  <si>
    <t>072-6283-395</t>
  </si>
  <si>
    <t>中村 大輝</t>
  </si>
  <si>
    <t>080-1463-0817</t>
  </si>
  <si>
    <t>西田 幸生</t>
  </si>
  <si>
    <t>令和7年5月1日から令和8年4月30日まで</t>
  </si>
  <si>
    <t>服部 由侑</t>
  </si>
  <si>
    <t>072-675-1724</t>
  </si>
  <si>
    <t>林 航希</t>
  </si>
  <si>
    <t>072-655-1852</t>
  </si>
  <si>
    <t>春木 嶺汰</t>
  </si>
  <si>
    <t>072-628-8159</t>
  </si>
  <si>
    <t>樋口 瑛己</t>
  </si>
  <si>
    <t>072-668-7665</t>
  </si>
  <si>
    <t>藤井 翔</t>
  </si>
  <si>
    <t>072-671-8983</t>
  </si>
  <si>
    <t>藤井 翼</t>
  </si>
  <si>
    <t>藤本 聖</t>
  </si>
  <si>
    <t>藤本 悠希</t>
  </si>
  <si>
    <t>大阪府 茨木市</t>
  </si>
  <si>
    <t>令和6年9月1日から令和7年7月31日まで</t>
  </si>
  <si>
    <t>本郷 駿匠</t>
  </si>
  <si>
    <t>令和6年7月1日から令和7年6月30日まで</t>
  </si>
  <si>
    <t>本郷 蔵之介</t>
  </si>
  <si>
    <t>増尾 颯斗</t>
  </si>
  <si>
    <t>072-661-0177</t>
  </si>
  <si>
    <t>松井 亮弥</t>
  </si>
  <si>
    <t>令和7年1月6日から令和7年12月31日まで</t>
  </si>
  <si>
    <t>072-693-4162</t>
  </si>
  <si>
    <t>松岡 美希</t>
  </si>
  <si>
    <t>松田 悠希</t>
  </si>
  <si>
    <t>松村 晴道</t>
  </si>
  <si>
    <t>072-674-5356</t>
  </si>
  <si>
    <t>松村 一花</t>
  </si>
  <si>
    <t>松本 理佑</t>
  </si>
  <si>
    <t>三浦 峻二朗</t>
  </si>
  <si>
    <t>満仲 雄大</t>
  </si>
  <si>
    <t>令和6年11月1日から令和7年10月31日まで</t>
  </si>
  <si>
    <t>村山 海渡</t>
  </si>
  <si>
    <t>072-647-5493</t>
  </si>
  <si>
    <t>村山 聡美</t>
  </si>
  <si>
    <t>森本 雄詠</t>
  </si>
  <si>
    <t>森本 凱翔</t>
  </si>
  <si>
    <t>令和6年9月1日から令和7年8月31日まで</t>
  </si>
  <si>
    <t>安本 善哉</t>
  </si>
  <si>
    <t>柳井 琢磨</t>
  </si>
  <si>
    <t>山岡 隆星</t>
  </si>
  <si>
    <t>080-3801-6905</t>
  </si>
  <si>
    <t>山口 岳</t>
  </si>
  <si>
    <t>山口 莉舞</t>
  </si>
  <si>
    <t>令和6年11月14日から令和7年11月30日まで</t>
  </si>
  <si>
    <t>山本 佑成</t>
  </si>
  <si>
    <t>072-690-7209</t>
  </si>
  <si>
    <t>吉田 航</t>
  </si>
  <si>
    <t>072-629-1006</t>
  </si>
  <si>
    <t>芳之内 一樹</t>
  </si>
  <si>
    <t>脇本 海大朗</t>
  </si>
  <si>
    <t>渡邉 尊</t>
  </si>
  <si>
    <t>072-695-0544</t>
  </si>
  <si>
    <t>所属</t>
  </si>
  <si>
    <t>社員番号</t>
  </si>
  <si>
    <t>職員名</t>
    <phoneticPr fontId="4"/>
  </si>
  <si>
    <t>職員名（伏字）</t>
    <rPh sb="4" eb="6">
      <t>フセジ</t>
    </rPh>
    <phoneticPr fontId="4"/>
  </si>
  <si>
    <t>職員カナ</t>
    <phoneticPr fontId="4"/>
  </si>
  <si>
    <t>職員カナ（伏字）</t>
    <rPh sb="5" eb="7">
      <t>フセジ</t>
    </rPh>
    <phoneticPr fontId="4"/>
  </si>
  <si>
    <t>入社年月日</t>
  </si>
  <si>
    <t>退社年月日</t>
  </si>
  <si>
    <t>郵便番号</t>
  </si>
  <si>
    <t>都道府県</t>
  </si>
  <si>
    <t>市区町村</t>
  </si>
  <si>
    <t>町名以下</t>
  </si>
  <si>
    <t>建物名</t>
  </si>
  <si>
    <t>職員電話番号</t>
    <phoneticPr fontId="4"/>
  </si>
  <si>
    <t>職員電話番号（伏字）</t>
    <rPh sb="7" eb="9">
      <t>フセジ</t>
    </rPh>
    <phoneticPr fontId="4"/>
  </si>
  <si>
    <t>職員携帯電話番号</t>
    <phoneticPr fontId="4"/>
  </si>
  <si>
    <t>職員携帯電話番号（伏字）</t>
    <rPh sb="9" eb="11">
      <t>フセジ</t>
    </rPh>
    <phoneticPr fontId="4"/>
  </si>
  <si>
    <t>職員Eメールアドレス</t>
  </si>
  <si>
    <t>雇用形態</t>
  </si>
  <si>
    <t>在職状況</t>
  </si>
  <si>
    <t>介護支援専門員</t>
  </si>
  <si>
    <t>介護福祉士</t>
  </si>
  <si>
    <t>ホームヘルパー1級</t>
  </si>
  <si>
    <t>ホームヘルパー2級</t>
  </si>
  <si>
    <t>看護師</t>
  </si>
  <si>
    <t>准看護師</t>
  </si>
  <si>
    <t>保健師</t>
  </si>
  <si>
    <t>理学療法士</t>
  </si>
  <si>
    <t>作業療法士</t>
  </si>
  <si>
    <t>言語聴覚士</t>
  </si>
  <si>
    <t>医師</t>
  </si>
  <si>
    <t>薬剤師</t>
  </si>
  <si>
    <t>管理栄養士</t>
  </si>
  <si>
    <t>歯科衛生士</t>
  </si>
  <si>
    <t>柔道整復師</t>
  </si>
  <si>
    <t>あん摩マッサージ指圧師</t>
  </si>
  <si>
    <t>社会福祉主事</t>
  </si>
  <si>
    <t>社会福祉士</t>
  </si>
  <si>
    <t>精神保健福祉士</t>
  </si>
  <si>
    <t>義肢装具士</t>
  </si>
  <si>
    <t>介護職員基礎研修</t>
  </si>
  <si>
    <t>介護職員初任者研修</t>
  </si>
  <si>
    <t>介護福祉士実務者研修</t>
  </si>
  <si>
    <t>福祉住環境コーディネーター1級</t>
  </si>
  <si>
    <t>福祉住環境コーディネーター2級</t>
  </si>
  <si>
    <t>福祉住環境コーディネーター3級</t>
  </si>
  <si>
    <t>居宅介護職員初任者研修課程</t>
  </si>
  <si>
    <t>障害者居宅介護従業者基礎研修課程</t>
  </si>
  <si>
    <t>重度訪問介護従業者養成研修(基礎)</t>
  </si>
  <si>
    <t>重度訪問介護従業者養成研修(追加)</t>
  </si>
  <si>
    <t>行動援護従業者養成研修</t>
  </si>
  <si>
    <t>同行援護従業者養成研修(一般)</t>
  </si>
  <si>
    <t>同行援護従業者養成研修(応用)</t>
  </si>
  <si>
    <t>視覚障害者ガイド養成研修修了者</t>
  </si>
  <si>
    <t>全身性障害者ガイド養成研修修了者</t>
  </si>
  <si>
    <t>知的障害者ガイド養成研修修了者</t>
  </si>
  <si>
    <t>児童発達支援管理責任者</t>
  </si>
  <si>
    <t>心理士</t>
  </si>
  <si>
    <t>児童指導員</t>
  </si>
  <si>
    <t>調理師</t>
  </si>
  <si>
    <t>佐藤 裕美</t>
  </si>
  <si>
    <t>サトウ ヒロミ</t>
  </si>
  <si>
    <t>常勤</t>
  </si>
  <si>
    <t>在職中</t>
  </si>
  <si>
    <t>高木 亜紗美</t>
  </si>
  <si>
    <t>タカギ アサミ</t>
  </si>
  <si>
    <t>退社済</t>
  </si>
  <si>
    <t>秋田 まなみ</t>
  </si>
  <si>
    <t>アキタ マナミ</t>
  </si>
  <si>
    <t>堀内 千弘</t>
  </si>
  <si>
    <t>ホリウチ チヒロ</t>
  </si>
  <si>
    <t>伊神 智哉</t>
  </si>
  <si>
    <t>イカミ トモヤ</t>
  </si>
  <si>
    <t>中辻 幸二</t>
  </si>
  <si>
    <t>ナカツジ コウジ</t>
  </si>
  <si>
    <t>非常勤</t>
  </si>
  <si>
    <t>取得日不明</t>
  </si>
  <si>
    <t>佐藤 匠</t>
  </si>
  <si>
    <t>サトウ タクミ</t>
  </si>
  <si>
    <t>稲垣 敏和</t>
  </si>
  <si>
    <t>イナガキ トシカズ</t>
  </si>
  <si>
    <t>佐能 美弥子</t>
  </si>
  <si>
    <t>サノウ ミヤコ</t>
  </si>
  <si>
    <t>竹内 正明</t>
  </si>
  <si>
    <t>タケウチ マサアキ</t>
  </si>
  <si>
    <t>清家 祐子</t>
  </si>
  <si>
    <t>セイケ ユウコ</t>
  </si>
  <si>
    <t>072-637-3991</t>
  </si>
  <si>
    <t>070-8591-1880</t>
  </si>
  <si>
    <t>西尾 瑠美</t>
  </si>
  <si>
    <t>ニシオ ルミ</t>
  </si>
  <si>
    <t>東川 直也</t>
  </si>
  <si>
    <t>ヒガシカワ ナオヤ</t>
  </si>
  <si>
    <t>新谷 美春</t>
  </si>
  <si>
    <t>シンタニ ミハル</t>
  </si>
  <si>
    <t>利用者生年月日</t>
  </si>
  <si>
    <t>性別</t>
  </si>
  <si>
    <t>町名以下（伏字）</t>
    <rPh sb="5" eb="7">
      <t>フセジ</t>
    </rPh>
    <phoneticPr fontId="4"/>
  </si>
  <si>
    <t>建物名（伏字）</t>
    <rPh sb="4" eb="6">
      <t>フセジ</t>
    </rPh>
    <phoneticPr fontId="4"/>
  </si>
  <si>
    <t>利用者電話番号</t>
  </si>
  <si>
    <t>利用者電話番号（伏字）</t>
    <rPh sb="8" eb="10">
      <t>フセジ</t>
    </rPh>
    <phoneticPr fontId="4"/>
  </si>
  <si>
    <t>利用者携帯電話番号</t>
    <phoneticPr fontId="4"/>
  </si>
  <si>
    <t>利用者携帯電話番号（伏字）</t>
    <rPh sb="10" eb="12">
      <t>フセジ</t>
    </rPh>
    <phoneticPr fontId="4"/>
  </si>
  <si>
    <t>請求方法</t>
  </si>
  <si>
    <t>請求送付先</t>
  </si>
  <si>
    <t>請求先氏名</t>
  </si>
  <si>
    <t>続柄</t>
  </si>
  <si>
    <t>請求先郵便番号</t>
  </si>
  <si>
    <t>請求先都道府県</t>
  </si>
  <si>
    <t>請求先市区町村</t>
  </si>
  <si>
    <t>請求先町名以下</t>
  </si>
  <si>
    <t>請求先建物名</t>
  </si>
  <si>
    <t>請求先電話番号</t>
  </si>
  <si>
    <t>顧客番号</t>
  </si>
  <si>
    <t>銀行番号</t>
  </si>
  <si>
    <t>支店番号</t>
  </si>
  <si>
    <t>口座種別</t>
  </si>
  <si>
    <t>口座番号</t>
  </si>
  <si>
    <t>口座名義名カナ</t>
  </si>
  <si>
    <t>利用者状態</t>
  </si>
  <si>
    <t>備考</t>
  </si>
  <si>
    <t>大阪府</t>
  </si>
  <si>
    <t>沢良木町18番6-1210号</t>
  </si>
  <si>
    <t>プラネ高槻ガーデンライフ</t>
  </si>
  <si>
    <t>080-4134-8874</t>
  </si>
  <si>
    <t>SMBC口座振替</t>
  </si>
  <si>
    <t>本人</t>
  </si>
  <si>
    <t>なし</t>
  </si>
  <si>
    <t>寿町2丁目25番25号</t>
  </si>
  <si>
    <t>シャトレーコトブキ101号</t>
  </si>
  <si>
    <t>080-2433-8373</t>
  </si>
  <si>
    <t>集金</t>
  </si>
  <si>
    <t>城南町3丁目12番9号</t>
  </si>
  <si>
    <t>070-4440-8994</t>
  </si>
  <si>
    <t>明野町５番２０－２０７号</t>
  </si>
  <si>
    <t>080-5311-5008</t>
  </si>
  <si>
    <t>芝生町２丁目５８番７号</t>
  </si>
  <si>
    <t>070-1773-0310</t>
  </si>
  <si>
    <t>八丁西町８番２１ー２０１号</t>
  </si>
  <si>
    <t>090-1761-8380</t>
  </si>
  <si>
    <t>竹の内町42番10号</t>
  </si>
  <si>
    <t>090-5361-8133</t>
  </si>
  <si>
    <t>東五百住町2-24-8</t>
  </si>
  <si>
    <t>090-3655-1568</t>
  </si>
  <si>
    <t>野田3丁目9番1号</t>
  </si>
  <si>
    <t>080-1423-6708</t>
  </si>
  <si>
    <t>津之江町１丁目２５番３５号の２</t>
  </si>
  <si>
    <t>080-3030-2181</t>
  </si>
  <si>
    <t>津之江北町34-8</t>
  </si>
  <si>
    <t>070-8940-8321</t>
  </si>
  <si>
    <t>春日町１３番１１号</t>
  </si>
  <si>
    <t>070-8335-5198</t>
  </si>
  <si>
    <t>城西町4番52-1103号</t>
  </si>
  <si>
    <t>登町10番15号の1</t>
  </si>
  <si>
    <t>072-628-6116</t>
  </si>
  <si>
    <t>090-8523-8623</t>
  </si>
  <si>
    <t>大畑町１８番２</t>
  </si>
  <si>
    <t>パークスクエア高槻ステーション１２０５号</t>
  </si>
  <si>
    <t>072-692-9221</t>
  </si>
  <si>
    <t>090-3536-4083</t>
  </si>
  <si>
    <t>高西町6番3-703号</t>
  </si>
  <si>
    <t>090-4291-7878</t>
  </si>
  <si>
    <t>宮野町9番12-508号</t>
  </si>
  <si>
    <t>090-8451-0199</t>
  </si>
  <si>
    <t>下田部町2丁目20番29号の10</t>
  </si>
  <si>
    <t>072-628-1450</t>
  </si>
  <si>
    <t>090-7997-0940</t>
  </si>
  <si>
    <t>大手町3番18-203号</t>
  </si>
  <si>
    <t>080-1383-2478</t>
  </si>
  <si>
    <t>小野 晃子</t>
  </si>
  <si>
    <t>オノ アキコ</t>
  </si>
  <si>
    <t>城南町4丁目9番27号</t>
  </si>
  <si>
    <t>072-609-0520</t>
  </si>
  <si>
    <t>090-8219-8112</t>
  </si>
  <si>
    <t>利用停止</t>
  </si>
  <si>
    <t>城南町3丁目７番４号</t>
  </si>
  <si>
    <t>東五百住町２丁目２８番２号</t>
  </si>
  <si>
    <t>080-3105-5257</t>
  </si>
  <si>
    <t>津之江北町6番37号</t>
  </si>
  <si>
    <t>090-7446-6761</t>
  </si>
  <si>
    <t>西冠2丁目6番8号</t>
  </si>
  <si>
    <t>072-628-5084</t>
  </si>
  <si>
    <t>090-3703-8401</t>
  </si>
  <si>
    <t>緑が丘1丁目11番16号</t>
  </si>
  <si>
    <t>090-9719-2843</t>
  </si>
  <si>
    <t>城東町2番18号</t>
  </si>
  <si>
    <t>ディアコート高槻206号</t>
  </si>
  <si>
    <t>072-647-7814</t>
  </si>
  <si>
    <t>090-8378-5430</t>
  </si>
  <si>
    <t>日向町6番18号</t>
  </si>
  <si>
    <t>072-669-7873</t>
  </si>
  <si>
    <t>090-6965-0752</t>
  </si>
  <si>
    <t>090-5966-3096</t>
  </si>
  <si>
    <t>大塚町３丁目２２番１１号パストラル２１　202号</t>
  </si>
  <si>
    <t>090-6289-8685</t>
  </si>
  <si>
    <t>塚原2丁目27番1号</t>
  </si>
  <si>
    <t>072-628-9271</t>
  </si>
  <si>
    <t>070-5507-2777</t>
  </si>
  <si>
    <t>大畑町1番23-101号</t>
  </si>
  <si>
    <t>津之江北町6番38号</t>
  </si>
  <si>
    <t>090-1966-0439</t>
  </si>
  <si>
    <t>今城町15番5-308号</t>
  </si>
  <si>
    <t>090-5151-6029</t>
  </si>
  <si>
    <t>大塚町1丁目28番17号</t>
  </si>
  <si>
    <t>090-6326-8282</t>
  </si>
  <si>
    <t>緑町17番4号</t>
  </si>
  <si>
    <t>090-2506-1852</t>
  </si>
  <si>
    <t>南大樋町1番1</t>
  </si>
  <si>
    <t>マイシティ高槻333号</t>
  </si>
  <si>
    <t>宮野町５番</t>
  </si>
  <si>
    <t>５５ー２０６号</t>
  </si>
  <si>
    <t>072-655-8514</t>
  </si>
  <si>
    <t>080-3861-0832</t>
  </si>
  <si>
    <t>登町３番A20-２０８号</t>
  </si>
  <si>
    <t>高垣町37番8号</t>
  </si>
  <si>
    <t>ハイツ西谷202号</t>
  </si>
  <si>
    <t>090-4279-6410</t>
  </si>
  <si>
    <t>城南町4-23-1</t>
  </si>
  <si>
    <t>芝生町2-35-7-404</t>
  </si>
  <si>
    <t>出口5丁目16番8号</t>
  </si>
  <si>
    <t>080-4481-8881</t>
  </si>
  <si>
    <t>東五百住町1丁目6番9号</t>
  </si>
  <si>
    <t>072-694-4522</t>
  </si>
  <si>
    <t>090-3928-4988</t>
  </si>
  <si>
    <t>田中町12-33-206</t>
  </si>
  <si>
    <t>090-2893-6023</t>
  </si>
  <si>
    <t>若松町1番7号</t>
  </si>
  <si>
    <t>サンシャイン若松302号</t>
  </si>
  <si>
    <t>070-7588-5999</t>
  </si>
  <si>
    <t>城南町1丁目１３番２３号</t>
  </si>
  <si>
    <t>辻子1丁目６番１９号</t>
  </si>
  <si>
    <t>ル・ガーデニア306号</t>
  </si>
  <si>
    <t>090-1150-5726</t>
  </si>
  <si>
    <t>別所中の町６番１－３０９号</t>
  </si>
  <si>
    <t>090-9116-6931</t>
  </si>
  <si>
    <t>須賀町48番12号の３</t>
  </si>
  <si>
    <t>080-3038-4141</t>
  </si>
  <si>
    <t>北大樋町32番24号</t>
  </si>
  <si>
    <t>080-4562-2159</t>
  </si>
  <si>
    <t>大蔵司2丁目５２番２２号ソシア・アグネス２０３号</t>
  </si>
  <si>
    <t>090-1010-3127</t>
  </si>
  <si>
    <t>春日町１０番６号</t>
  </si>
  <si>
    <t>072-675-5789</t>
  </si>
  <si>
    <t>090-3848-9728</t>
  </si>
  <si>
    <t>辻子1-12-16-1</t>
  </si>
  <si>
    <t>090-1898-6466</t>
  </si>
  <si>
    <t>南大樋町15番2号</t>
  </si>
  <si>
    <t>090-3844-4187</t>
  </si>
  <si>
    <t>大塚町2丁目52番9号</t>
  </si>
  <si>
    <t>090-5677-5798</t>
  </si>
  <si>
    <t>辻子1丁目16番13号</t>
  </si>
  <si>
    <t>090-1132-4915</t>
  </si>
  <si>
    <t>芝生町1丁目59番19号</t>
  </si>
  <si>
    <t>090-2111-3351</t>
  </si>
  <si>
    <t>芝生町１丁目５９番１９号</t>
  </si>
  <si>
    <t>日吉台五番町１１番８号の１</t>
  </si>
  <si>
    <t>090-8367-9929</t>
  </si>
  <si>
    <t>庄所町11-4</t>
  </si>
  <si>
    <t>080-2448-3124</t>
  </si>
  <si>
    <t>安岡寺町５丁目２２番４号</t>
  </si>
  <si>
    <t>072-668-1960</t>
  </si>
  <si>
    <t>090-8061-9493</t>
  </si>
  <si>
    <t>一時停止</t>
  </si>
  <si>
    <t>西冠1丁目15番28号</t>
  </si>
  <si>
    <t>栄町1丁目2番９－206号</t>
  </si>
  <si>
    <t>090-1904-7984</t>
  </si>
  <si>
    <t>弥生が丘町2番2号</t>
  </si>
  <si>
    <t>090-8889-0925</t>
  </si>
  <si>
    <t>北大樋町４７番１９号</t>
  </si>
  <si>
    <t>西冠１丁目８番１６号</t>
  </si>
  <si>
    <t>090-2106-6694</t>
  </si>
  <si>
    <t>高西町6-3-408</t>
  </si>
  <si>
    <t>竹の内町３５番７号</t>
  </si>
  <si>
    <t>090-3639-1267</t>
  </si>
  <si>
    <t>登町5-A34-305</t>
  </si>
  <si>
    <t>090-1022-6633</t>
  </si>
  <si>
    <t>明田町3番15</t>
  </si>
  <si>
    <t>クレアガーデン高槻プレミアム804号</t>
  </si>
  <si>
    <t>090-4983-5571</t>
  </si>
  <si>
    <t>上田辺町12番16号</t>
  </si>
  <si>
    <t>090-3629-2228</t>
  </si>
  <si>
    <t>北大樋町5番34号</t>
  </si>
  <si>
    <t>090-6909-5467</t>
  </si>
  <si>
    <t>真上町１丁目１６番１－３０３号</t>
  </si>
  <si>
    <t>090-7497-2949</t>
  </si>
  <si>
    <t>西冠1丁目2番11号</t>
  </si>
  <si>
    <t>080-5333-2305</t>
  </si>
  <si>
    <t>野見町2番11</t>
  </si>
  <si>
    <t>803号</t>
  </si>
  <si>
    <t>東和町50番1-202号</t>
  </si>
  <si>
    <t>090-7112-8044</t>
  </si>
  <si>
    <t>上穂積2丁目3番25号</t>
  </si>
  <si>
    <t>ラ・コモドーナ茨木303号</t>
  </si>
  <si>
    <t>090-2049-6490</t>
  </si>
  <si>
    <t>郡家本町48番5号</t>
  </si>
  <si>
    <t>080-4398-6003</t>
  </si>
  <si>
    <t>牧田町6番40-403号</t>
  </si>
  <si>
    <t>090-3851-4302</t>
  </si>
  <si>
    <t>須賀町59-18-8</t>
  </si>
  <si>
    <t>070-4015-2041</t>
  </si>
  <si>
    <t>大畑町１２番９－１１０４号</t>
  </si>
  <si>
    <t>080-1441-4768</t>
  </si>
  <si>
    <t>芝生町１丁目４１番２－２０６号</t>
  </si>
  <si>
    <t>090-6965-1416</t>
  </si>
  <si>
    <t>津之江町１丁目１４番８号</t>
  </si>
  <si>
    <t>090-8249-9109</t>
  </si>
  <si>
    <t>辻子1丁目7番12号</t>
  </si>
  <si>
    <t>090-6863-3618</t>
  </si>
  <si>
    <t>東上牧３丁目５番１４号</t>
  </si>
  <si>
    <t>南平台1丁目10番1号</t>
  </si>
  <si>
    <t>090-8392-7381</t>
  </si>
  <si>
    <t>城南町２丁目３２番１６号</t>
  </si>
  <si>
    <t>090-5960-2248</t>
  </si>
  <si>
    <t>東和町３２番８号</t>
  </si>
  <si>
    <t>マーブルハイツ東和103号</t>
  </si>
  <si>
    <t>072-690-7408</t>
  </si>
  <si>
    <t>090-9114-3010</t>
  </si>
  <si>
    <t>大手町3番17-305号</t>
  </si>
  <si>
    <t>090-3926-2154</t>
  </si>
  <si>
    <t>宮野町17番7号</t>
  </si>
  <si>
    <t>080-1491-9427</t>
  </si>
  <si>
    <t>日向町９番１５号</t>
  </si>
  <si>
    <t>登美の里町11番13号</t>
  </si>
  <si>
    <t>090-1775-2736</t>
  </si>
  <si>
    <t>奈佐原１丁目１番４０４ー４０１号</t>
  </si>
  <si>
    <t>氷室町１丁目３１番３号</t>
  </si>
  <si>
    <t>080-4979-1700</t>
  </si>
  <si>
    <t>大冠町３丁目４番１号コンフォートヴィラ２０５号</t>
  </si>
  <si>
    <t>香里園山之手町２６-２３-２</t>
  </si>
  <si>
    <t>090-1013-2413</t>
  </si>
  <si>
    <t>香里園山之手町26-23-2</t>
  </si>
  <si>
    <t>沢良木町18番6-817号</t>
  </si>
  <si>
    <t>072-629-8876</t>
  </si>
  <si>
    <t>070-2801-8103</t>
  </si>
  <si>
    <t>城南町4丁目28番9号</t>
  </si>
  <si>
    <t>090-9111-9790</t>
  </si>
  <si>
    <t>松が丘2-20-5</t>
  </si>
  <si>
    <t>090-5155-9712</t>
  </si>
  <si>
    <t>芝生町2丁目21番28－704号</t>
  </si>
  <si>
    <t>050-1409-5155</t>
  </si>
  <si>
    <t>080-5327-3235</t>
  </si>
  <si>
    <t>氷室町4丁目18番19号</t>
  </si>
  <si>
    <t>春日3丁目11番20号</t>
  </si>
  <si>
    <t>090-1430-2353</t>
  </si>
  <si>
    <t>寿町3丁目36番3号の2</t>
  </si>
  <si>
    <t>080-1410-2891</t>
  </si>
  <si>
    <t>2025年6月</t>
  </si>
  <si>
    <t>日</t>
  </si>
  <si>
    <t>月</t>
  </si>
  <si>
    <t>火</t>
  </si>
  <si>
    <t>水</t>
  </si>
  <si>
    <t>木</t>
  </si>
  <si>
    <t>金</t>
  </si>
  <si>
    <t>土</t>
  </si>
  <si>
    <t>16:00-17:40 [放] 三浦 峻二朗</t>
  </si>
  <si>
    <t>14:20-16:00 [放] 大矢 莉穂</t>
  </si>
  <si>
    <t>16:00-17:40 [放] 小笠原 駿</t>
  </si>
  <si>
    <t>14:20-16:00 [放] 松村 一花</t>
  </si>
  <si>
    <t>16:00-17:40 [放] 甲斐 友惺</t>
  </si>
  <si>
    <t>10:15-11:55 [放] 高松 奏</t>
  </si>
  <si>
    <t>16:00-17:40 [放] 山本 佑成</t>
  </si>
  <si>
    <t>16:00-17:40 [放] 河野 圭悟</t>
  </si>
  <si>
    <t>16:00-17:40 [放] 松本 理佑</t>
  </si>
  <si>
    <t>14:20-17:40 [放] 川上 遼太</t>
  </si>
  <si>
    <t>16:00-17:40 [放] 阪本 悠真</t>
  </si>
  <si>
    <t>10:15-11:55 [放] 高柳 一輝</t>
  </si>
  <si>
    <t>16:00-17:40 [放] 小見渕 統吾</t>
  </si>
  <si>
    <t>16:00-17:40 [放] 黒田 結世</t>
  </si>
  <si>
    <t>16:00-17:40 [放] 大井 美郁</t>
  </si>
  <si>
    <t>16:00-17:40 [放] 沖田 蒼真</t>
  </si>
  <si>
    <t>16:00-17:40 [放] 西田 幸生</t>
  </si>
  <si>
    <t>10:15-11:55 [放] 島田 睦生</t>
  </si>
  <si>
    <t>16:00-17:40 [放] 神前 琉伎</t>
  </si>
  <si>
    <t>16:00-17:40 [放] 中原 蒼十朗</t>
  </si>
  <si>
    <t>16:00-17:40 [放] 尾崎 翼</t>
  </si>
  <si>
    <t>16:00-17:40 [放] 佐田 陸翔</t>
  </si>
  <si>
    <t>10:15-11:55 [放] 熱田 波音</t>
  </si>
  <si>
    <t>16:00-17:40 [放] 川上 遼太</t>
  </si>
  <si>
    <t>16:00-17:40 [放] 中西 玲偉</t>
  </si>
  <si>
    <t>16:00-17:40 [放] 武山 紘太朗</t>
  </si>
  <si>
    <t>16:00-17:40 [放] 松井 亮弥</t>
  </si>
  <si>
    <t>16:00-17:40 [放] 藤井 翼</t>
  </si>
  <si>
    <t>10:15-11:55 [放] 柳井 琢磨</t>
  </si>
  <si>
    <t>16:00-17:40 [放] 川野 智輝</t>
  </si>
  <si>
    <t>16:00-17:40 [放] 満仲 雄大</t>
  </si>
  <si>
    <t>17:45-19:25 [放] 井上 蒼介</t>
  </si>
  <si>
    <t>16:00-17:40 [放] 中村 颯人</t>
  </si>
  <si>
    <t>16:00-17:40 [放] 藤井 翔</t>
  </si>
  <si>
    <t>13:00-14:40 [放] 森本 凱翔</t>
  </si>
  <si>
    <t>16:00-17:40 [放] 髙木 慶吾</t>
  </si>
  <si>
    <t>16:00-17:40 [放] 木下 雲日</t>
  </si>
  <si>
    <t>17:45-19:25 [放] 甲斐 蓮惺</t>
  </si>
  <si>
    <t>17:45-19:25 [放] 加藤 直人</t>
  </si>
  <si>
    <t>16:00-17:40 [放] 服部 由侑</t>
  </si>
  <si>
    <t>13:00-14:40 [放] 藤本 悠希</t>
  </si>
  <si>
    <t>17:45-19:25 [放] 伊藤 実乃里</t>
  </si>
  <si>
    <t>17:45-19:25 [放] 鎌倉 未来</t>
  </si>
  <si>
    <t>17:45-19:25 [放] 山口 岳</t>
  </si>
  <si>
    <t>17:45-19:25 [放] 加藤 雄人</t>
  </si>
  <si>
    <t>17:45-19:25 [放] 安本 善哉</t>
  </si>
  <si>
    <t>13:00-14:40 [放] 芳之内 一樹</t>
  </si>
  <si>
    <t>17:45-19:25 [放] 角 朋樹</t>
  </si>
  <si>
    <t>17:45-19:25 [放] 甲斐 希乃花</t>
  </si>
  <si>
    <t>17:45-19:25 [放] 神農 叶芽</t>
  </si>
  <si>
    <t>17:45-19:25 [放] 寺本 和真</t>
  </si>
  <si>
    <t>17:45-19:25 [放] 遠山 桃弥</t>
  </si>
  <si>
    <t>15:00-16:40 [放] 工藤 雄斗</t>
  </si>
  <si>
    <t>17:45-19:25 [放] 甲斐 友惺</t>
  </si>
  <si>
    <t>17:45-19:25 [放] 川人 禄</t>
  </si>
  <si>
    <t>17:45-19:25 [放] 地蔵原 湊大</t>
  </si>
  <si>
    <t>17:45-19:25 [放] 秋山 快翔</t>
  </si>
  <si>
    <t>15:00-16:40 [放] 川路 拓夢</t>
  </si>
  <si>
    <t>17:45-19:25 [放] 今西 芽生</t>
  </si>
  <si>
    <t>17:45-19:25 [放] 寺迫 紡</t>
  </si>
  <si>
    <t>17:45-19:25 [放] 熱田 波音</t>
  </si>
  <si>
    <t>17:45-19:25 [放] 内藤 聡祐</t>
  </si>
  <si>
    <t>17:45-19:25 [放] 松田 悠希</t>
  </si>
  <si>
    <t>15:00-16:40 [放] 村山 海渡</t>
  </si>
  <si>
    <t>17:45-19:25 [放] 笹岡 奏太</t>
  </si>
  <si>
    <t>17:45-19:25 [放] 上浦 弘貴</t>
  </si>
  <si>
    <t>17:45-19:25 [放] 樋口 瑛己</t>
  </si>
  <si>
    <t>17:45-19:25 [放] 清水 悠</t>
  </si>
  <si>
    <t>15:00-16:40 [放] 村山 聡美</t>
  </si>
  <si>
    <t>17:45-19:25 [放] 辻 航史朗</t>
  </si>
  <si>
    <t>17:45-19:25 [放] 石原 悠晴</t>
  </si>
  <si>
    <t>17:45-19:25 [放] 林 航希</t>
  </si>
  <si>
    <t>17:45-19:25 [放] 武山 紘太朗</t>
  </si>
  <si>
    <t>17:45-19:25 [放] 川野 拓海</t>
  </si>
  <si>
    <t>17:45-19:25 [放] 浅井 塁偉</t>
  </si>
  <si>
    <t>17:45-19:25 [放] 富岡 響希</t>
  </si>
  <si>
    <t>17:45-19:25 [放] 増尾 颯斗</t>
  </si>
  <si>
    <t>17:45-19:25 [放] 富岡 雫</t>
  </si>
  <si>
    <t>14:00-15:40 [放] 大矢 莉穂</t>
  </si>
  <si>
    <t>14:30-16:00 [放] 網野 晴</t>
  </si>
  <si>
    <t>16:00-17:40 [放] 松村 晴道</t>
  </si>
  <si>
    <t>10:15-11:55 [放] 川元 舜太</t>
  </si>
  <si>
    <t>14:30-17:40 [放] 川上 遼太</t>
  </si>
  <si>
    <t>16:00-17:40 [放] 藤本 聖</t>
  </si>
  <si>
    <t>13:00-14:40 [放] 吉田 航</t>
  </si>
  <si>
    <t>17:45-19:25 [放] 佐藤 結虎</t>
  </si>
  <si>
    <t>13:00-14:40 [放] 森本 雄詠</t>
  </si>
  <si>
    <t>17:45-19:25 [放] 春木 嶺汰</t>
  </si>
  <si>
    <t>13:00-14:40 [放] 大内 博登</t>
  </si>
  <si>
    <t>13:00-14:40 [放] 渡邉 尊</t>
  </si>
  <si>
    <t>13:00-14:40 [放] 土橋 柚希</t>
  </si>
  <si>
    <t>17:45-19:25 [放] 天野 月子</t>
  </si>
  <si>
    <t>15:00-16:40 [放] 藤本 悠希</t>
  </si>
  <si>
    <t>10:15-11:55 [放] 伊藤 夏向</t>
  </si>
  <si>
    <t>10:15-11:55 [放] 家里 義史</t>
  </si>
  <si>
    <t>14:00-15:40 [放] 山口 莉舞</t>
  </si>
  <si>
    <t>12:00-13:00 [放] 中村 大輝</t>
  </si>
  <si>
    <t>17:45-19:25 [放] 本郷 蔵之介</t>
  </si>
  <si>
    <t>お誕生日を迎える児童（7名）</t>
  </si>
  <si>
    <t>誕生日</t>
  </si>
  <si>
    <t>6/25</t>
  </si>
  <si>
    <t>大矢 莉穂 （1名）</t>
  </si>
  <si>
    <t>6/27</t>
  </si>
  <si>
    <t>川上 遼太、村山 海渡 （2名）</t>
  </si>
  <si>
    <t>6/23</t>
  </si>
  <si>
    <t>川元 舜太、山口 岳 （2名）</t>
  </si>
  <si>
    <t>6/24</t>
  </si>
  <si>
    <t>寺迫 紡 （1名）</t>
  </si>
  <si>
    <t>6/8</t>
  </si>
  <si>
    <t>樋口 瑛己 （1名）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</si>
</sst>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b/>
      <sz val="9"/>
      <color rgb="FF424242"/>
      <name val="ＭＳ Ｐゴシック"/>
      <family val="3"/>
      <charset val="128"/>
    </font>
    <font>
      <sz val="9"/>
      <color rgb="FF424242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游ゴシック"/>
      <family val="2"/>
      <scheme val="minor"/>
    </font>
    <font>
      <b/>
      <sz val="16"/>
      <name val="Meiryo UI"/>
      <family val="3"/>
      <charset val="128"/>
    </font>
    <font>
      <sz val="14"/>
      <name val="Meiryo UI"/>
      <family val="3"/>
      <charset val="128"/>
    </font>
    <font>
      <b/>
      <sz val="14"/>
      <name val="Meiryo UI"/>
      <family val="3"/>
      <charset val="128"/>
    </font>
    <font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8F6BB"/>
        <bgColor indexed="64"/>
      </patternFill>
    </fill>
  </fills>
  <borders count="7">
    <border>
      <left/>
      <right/>
      <top/>
      <bottom/>
      <diagonal/>
    </border>
    <border>
      <left style="medium">
        <color rgb="FF898989"/>
      </left>
      <right style="medium">
        <color rgb="FF898989"/>
      </right>
      <top style="medium">
        <color rgb="FF898989"/>
      </top>
      <bottom style="medium">
        <color rgb="FF898989"/>
      </bottom>
      <diagonal/>
    </border>
    <border>
      <left style="medium">
        <color rgb="FF898989"/>
      </left>
      <right style="medium">
        <color rgb="FF898989"/>
      </right>
      <top style="medium">
        <color rgb="FF898989"/>
      </top>
      <bottom/>
      <diagonal/>
    </border>
    <border>
      <left style="medium">
        <color rgb="FF898989"/>
      </left>
      <right style="medium">
        <color rgb="FF898989"/>
      </right>
      <top/>
      <bottom style="medium">
        <color rgb="FF89898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left" vertical="center" wrapText="1"/>
    </xf>
    <xf numFmtId="0" fontId="3" fillId="0" borderId="1" xfId="1" applyNumberFormat="1" applyBorder="1" applyAlignment="1">
      <alignment horizontal="left" vertical="center" wrapText="1"/>
    </xf>
    <xf numFmtId="14" fontId="0" fillId="0" borderId="0" xfId="0" applyNumberFormat="1">
      <alignment vertical="center"/>
    </xf>
    <xf numFmtId="0" fontId="6" fillId="0" borderId="0" xfId="2" applyFont="1">
      <alignment vertical="center"/>
    </xf>
    <xf numFmtId="0" fontId="5" fillId="0" borderId="0" xfId="2">
      <alignment vertical="center"/>
    </xf>
    <xf numFmtId="0" fontId="7" fillId="0" borderId="0" xfId="2" applyFont="1" applyAlignment="1">
      <alignment horizontal="right" vertical="center"/>
    </xf>
    <xf numFmtId="0" fontId="8" fillId="0" borderId="4" xfId="2" applyFont="1" applyBorder="1" applyAlignment="1">
      <alignment horizontal="center" vertical="center"/>
    </xf>
    <xf numFmtId="0" fontId="8" fillId="0" borderId="4" xfId="2" applyFont="1" applyBorder="1" applyAlignment="1">
      <alignment horizontal="left" vertical="center"/>
    </xf>
    <xf numFmtId="0" fontId="9" fillId="0" borderId="5" xfId="2" applyFont="1" applyBorder="1" applyAlignment="1">
      <alignment horizontal="left" vertical="top" wrapText="1"/>
    </xf>
    <xf numFmtId="0" fontId="9" fillId="0" borderId="6" xfId="2" applyFont="1" applyBorder="1">
      <alignment vertical="center"/>
    </xf>
    <xf numFmtId="0" fontId="8" fillId="0" borderId="4" xfId="2" applyFont="1" applyBorder="1">
      <alignment vertical="center"/>
    </xf>
    <xf numFmtId="0" fontId="9" fillId="0" borderId="4" xfId="2" applyFont="1" applyBorder="1" applyAlignment="1">
      <alignment horizontal="center" vertical="center"/>
    </xf>
    <xf numFmtId="0" fontId="9" fillId="0" borderId="6" xfId="2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left" vertical="center" wrapText="1"/>
    </xf>
    <xf numFmtId="0" fontId="8" fillId="0" borderId="4" xfId="2" applyFont="1" applyBorder="1" applyAlignment="1">
      <alignment vertical="center"/>
    </xf>
  </cellXfs>
  <cellStyles count="3">
    <cellStyle name="ハイパーリンク" xfId="1" builtinId="8"/>
    <cellStyle name="標準" xfId="0" builtinId="0"/>
    <cellStyle name="標準 2" xfId="2" xr:uid="{E4019128-0644-47F5-AADD-2E17C6A21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.kaipoke.biz/kaipokebiz/business/register/user/MEM090307.do?conversationContext=7" TargetMode="External"/><Relationship Id="rId21" Type="http://schemas.openxmlformats.org/officeDocument/2006/relationships/hyperlink" Target="https://r.kaipoke.biz/kaipokebiz/business/register/user/MEM090307.do?conversationContext=7" TargetMode="External"/><Relationship Id="rId42" Type="http://schemas.openxmlformats.org/officeDocument/2006/relationships/hyperlink" Target="https://r.kaipoke.biz/kaipokebiz/business/register/user/MEM090307.do?conversationContext=7" TargetMode="External"/><Relationship Id="rId47" Type="http://schemas.openxmlformats.org/officeDocument/2006/relationships/hyperlink" Target="https://r.kaipoke.biz/kaipokebiz/business/register/user/MEM090307.do?conversationContext=7" TargetMode="External"/><Relationship Id="rId63" Type="http://schemas.openxmlformats.org/officeDocument/2006/relationships/hyperlink" Target="https://r.kaipoke.biz/kaipokebiz/business/register/user/MEM090307.do?conversationContext=7" TargetMode="External"/><Relationship Id="rId68" Type="http://schemas.openxmlformats.org/officeDocument/2006/relationships/hyperlink" Target="https://r.kaipoke.biz/kaipokebiz/business/register/user/MEM090307.do?conversationContext=7" TargetMode="External"/><Relationship Id="rId84" Type="http://schemas.openxmlformats.org/officeDocument/2006/relationships/hyperlink" Target="https://r.kaipoke.biz/kaipokebiz/business/register/user/MEM090307.do?conversationContext=7" TargetMode="External"/><Relationship Id="rId89" Type="http://schemas.openxmlformats.org/officeDocument/2006/relationships/hyperlink" Target="https://r.kaipoke.biz/kaipokebiz/business/register/user/MEM090307.do?conversationContext=7" TargetMode="External"/><Relationship Id="rId16" Type="http://schemas.openxmlformats.org/officeDocument/2006/relationships/hyperlink" Target="https://r.kaipoke.biz/kaipokebiz/business/register/user/MEM090307.do?conversationContext=7" TargetMode="External"/><Relationship Id="rId11" Type="http://schemas.openxmlformats.org/officeDocument/2006/relationships/hyperlink" Target="https://r.kaipoke.biz/kaipokebiz/business/register/user/MEM090307.do?conversationContext=7" TargetMode="External"/><Relationship Id="rId32" Type="http://schemas.openxmlformats.org/officeDocument/2006/relationships/hyperlink" Target="https://r.kaipoke.biz/kaipokebiz/business/register/user/MEM090307.do?conversationContext=7" TargetMode="External"/><Relationship Id="rId37" Type="http://schemas.openxmlformats.org/officeDocument/2006/relationships/hyperlink" Target="https://r.kaipoke.biz/kaipokebiz/business/register/user/MEM090307.do?conversationContext=7" TargetMode="External"/><Relationship Id="rId53" Type="http://schemas.openxmlformats.org/officeDocument/2006/relationships/hyperlink" Target="https://r.kaipoke.biz/kaipokebiz/business/register/user/MEM090307.do?conversationContext=7" TargetMode="External"/><Relationship Id="rId58" Type="http://schemas.openxmlformats.org/officeDocument/2006/relationships/hyperlink" Target="https://r.kaipoke.biz/kaipokebiz/business/register/user/MEM090307.do?conversationContext=7" TargetMode="External"/><Relationship Id="rId74" Type="http://schemas.openxmlformats.org/officeDocument/2006/relationships/hyperlink" Target="https://r.kaipoke.biz/kaipokebiz/business/register/user/MEM090307.do?conversationContext=7" TargetMode="External"/><Relationship Id="rId79" Type="http://schemas.openxmlformats.org/officeDocument/2006/relationships/hyperlink" Target="https://r.kaipoke.biz/kaipokebiz/business/register/user/MEM090307.do?conversationContext=7" TargetMode="External"/><Relationship Id="rId5" Type="http://schemas.openxmlformats.org/officeDocument/2006/relationships/hyperlink" Target="https://r.kaipoke.biz/kaipokebiz/business/register/user/MEM090307.do?conversationContext=7" TargetMode="External"/><Relationship Id="rId90" Type="http://schemas.openxmlformats.org/officeDocument/2006/relationships/hyperlink" Target="https://r.kaipoke.biz/kaipokebiz/business/register/user/MEM090307.do?conversationContext=7" TargetMode="External"/><Relationship Id="rId95" Type="http://schemas.openxmlformats.org/officeDocument/2006/relationships/hyperlink" Target="https://r.kaipoke.biz/kaipokebiz/business/register/user/MEM090307.do?conversationContext=7" TargetMode="External"/><Relationship Id="rId22" Type="http://schemas.openxmlformats.org/officeDocument/2006/relationships/hyperlink" Target="https://r.kaipoke.biz/kaipokebiz/business/register/user/MEM090307.do?conversationContext=7" TargetMode="External"/><Relationship Id="rId27" Type="http://schemas.openxmlformats.org/officeDocument/2006/relationships/hyperlink" Target="https://r.kaipoke.biz/kaipokebiz/business/register/user/MEM090307.do?conversationContext=7" TargetMode="External"/><Relationship Id="rId43" Type="http://schemas.openxmlformats.org/officeDocument/2006/relationships/hyperlink" Target="https://r.kaipoke.biz/kaipokebiz/business/register/user/MEM090307.do?conversationContext=7" TargetMode="External"/><Relationship Id="rId48" Type="http://schemas.openxmlformats.org/officeDocument/2006/relationships/hyperlink" Target="https://r.kaipoke.biz/kaipokebiz/business/register/user/MEM090307.do?conversationContext=7" TargetMode="External"/><Relationship Id="rId64" Type="http://schemas.openxmlformats.org/officeDocument/2006/relationships/hyperlink" Target="https://r.kaipoke.biz/kaipokebiz/business/register/user/MEM090307.do?conversationContext=7" TargetMode="External"/><Relationship Id="rId69" Type="http://schemas.openxmlformats.org/officeDocument/2006/relationships/hyperlink" Target="https://r.kaipoke.biz/kaipokebiz/business/register/user/MEM090307.do?conversationContext=7" TargetMode="External"/><Relationship Id="rId8" Type="http://schemas.openxmlformats.org/officeDocument/2006/relationships/hyperlink" Target="https://r.kaipoke.biz/kaipokebiz/business/register/user/MEM090307.do?conversationContext=7" TargetMode="External"/><Relationship Id="rId51" Type="http://schemas.openxmlformats.org/officeDocument/2006/relationships/hyperlink" Target="https://r.kaipoke.biz/kaipokebiz/business/register/user/MEM090307.do?conversationContext=7" TargetMode="External"/><Relationship Id="rId72" Type="http://schemas.openxmlformats.org/officeDocument/2006/relationships/hyperlink" Target="https://r.kaipoke.biz/kaipokebiz/business/register/user/MEM090307.do?conversationContext=7" TargetMode="External"/><Relationship Id="rId80" Type="http://schemas.openxmlformats.org/officeDocument/2006/relationships/hyperlink" Target="https://r.kaipoke.biz/kaipokebiz/business/register/user/MEM090307.do?conversationContext=7" TargetMode="External"/><Relationship Id="rId85" Type="http://schemas.openxmlformats.org/officeDocument/2006/relationships/hyperlink" Target="https://r.kaipoke.biz/kaipokebiz/business/register/user/MEM090307.do?conversationContext=7" TargetMode="External"/><Relationship Id="rId93" Type="http://schemas.openxmlformats.org/officeDocument/2006/relationships/hyperlink" Target="https://r.kaipoke.biz/kaipokebiz/business/register/user/MEM090307.do?conversationContext=7" TargetMode="External"/><Relationship Id="rId3" Type="http://schemas.openxmlformats.org/officeDocument/2006/relationships/hyperlink" Target="https://r.kaipoke.biz/kaipokebiz/business/register/user/MEM090307.do?conversationContext=7" TargetMode="External"/><Relationship Id="rId12" Type="http://schemas.openxmlformats.org/officeDocument/2006/relationships/hyperlink" Target="https://r.kaipoke.biz/kaipokebiz/business/register/user/MEM090307.do?conversationContext=7" TargetMode="External"/><Relationship Id="rId17" Type="http://schemas.openxmlformats.org/officeDocument/2006/relationships/hyperlink" Target="https://r.kaipoke.biz/kaipokebiz/business/register/user/MEM090307.do?conversationContext=7" TargetMode="External"/><Relationship Id="rId25" Type="http://schemas.openxmlformats.org/officeDocument/2006/relationships/hyperlink" Target="https://r.kaipoke.biz/kaipokebiz/business/register/user/MEM090307.do?conversationContext=7" TargetMode="External"/><Relationship Id="rId33" Type="http://schemas.openxmlformats.org/officeDocument/2006/relationships/hyperlink" Target="https://r.kaipoke.biz/kaipokebiz/business/register/user/MEM090307.do?conversationContext=7" TargetMode="External"/><Relationship Id="rId38" Type="http://schemas.openxmlformats.org/officeDocument/2006/relationships/hyperlink" Target="https://r.kaipoke.biz/kaipokebiz/business/register/user/MEM090307.do?conversationContext=7" TargetMode="External"/><Relationship Id="rId46" Type="http://schemas.openxmlformats.org/officeDocument/2006/relationships/hyperlink" Target="https://r.kaipoke.biz/kaipokebiz/business/register/user/MEM090307.do?conversationContext=7" TargetMode="External"/><Relationship Id="rId59" Type="http://schemas.openxmlformats.org/officeDocument/2006/relationships/hyperlink" Target="https://r.kaipoke.biz/kaipokebiz/business/register/user/MEM090307.do?conversationContext=7" TargetMode="External"/><Relationship Id="rId67" Type="http://schemas.openxmlformats.org/officeDocument/2006/relationships/hyperlink" Target="https://r.kaipoke.biz/kaipokebiz/business/register/user/MEM090307.do?conversationContext=7" TargetMode="External"/><Relationship Id="rId20" Type="http://schemas.openxmlformats.org/officeDocument/2006/relationships/hyperlink" Target="https://r.kaipoke.biz/kaipokebiz/business/register/user/MEM090307.do?conversationContext=7" TargetMode="External"/><Relationship Id="rId41" Type="http://schemas.openxmlformats.org/officeDocument/2006/relationships/hyperlink" Target="https://r.kaipoke.biz/kaipokebiz/business/register/user/MEM090307.do?conversationContext=7" TargetMode="External"/><Relationship Id="rId54" Type="http://schemas.openxmlformats.org/officeDocument/2006/relationships/hyperlink" Target="https://r.kaipoke.biz/kaipokebiz/business/register/user/MEM090307.do?conversationContext=7" TargetMode="External"/><Relationship Id="rId62" Type="http://schemas.openxmlformats.org/officeDocument/2006/relationships/hyperlink" Target="https://r.kaipoke.biz/kaipokebiz/business/register/user/MEM090307.do?conversationContext=7" TargetMode="External"/><Relationship Id="rId70" Type="http://schemas.openxmlformats.org/officeDocument/2006/relationships/hyperlink" Target="https://r.kaipoke.biz/kaipokebiz/business/register/user/MEM090307.do?conversationContext=7" TargetMode="External"/><Relationship Id="rId75" Type="http://schemas.openxmlformats.org/officeDocument/2006/relationships/hyperlink" Target="https://r.kaipoke.biz/kaipokebiz/business/register/user/MEM090307.do?conversationContext=7" TargetMode="External"/><Relationship Id="rId83" Type="http://schemas.openxmlformats.org/officeDocument/2006/relationships/hyperlink" Target="https://r.kaipoke.biz/kaipokebiz/business/register/user/MEM090307.do?conversationContext=7" TargetMode="External"/><Relationship Id="rId88" Type="http://schemas.openxmlformats.org/officeDocument/2006/relationships/hyperlink" Target="https://r.kaipoke.biz/kaipokebiz/business/register/user/MEM090307.do?conversationContext=7" TargetMode="External"/><Relationship Id="rId91" Type="http://schemas.openxmlformats.org/officeDocument/2006/relationships/hyperlink" Target="https://r.kaipoke.biz/kaipokebiz/business/register/user/MEM090307.do?conversationContext=7" TargetMode="External"/><Relationship Id="rId96" Type="http://schemas.openxmlformats.org/officeDocument/2006/relationships/hyperlink" Target="https://r.kaipoke.biz/kaipokebiz/business/register/user/MEM090307.do?conversationContext=7" TargetMode="External"/><Relationship Id="rId1" Type="http://schemas.openxmlformats.org/officeDocument/2006/relationships/hyperlink" Target="https://r.kaipoke.biz/kaipokebiz/business/register/user/MEM090307.do?conversationContext=7" TargetMode="External"/><Relationship Id="rId6" Type="http://schemas.openxmlformats.org/officeDocument/2006/relationships/hyperlink" Target="https://r.kaipoke.biz/kaipokebiz/business/register/user/MEM090307.do?conversationContext=7" TargetMode="External"/><Relationship Id="rId15" Type="http://schemas.openxmlformats.org/officeDocument/2006/relationships/hyperlink" Target="https://r.kaipoke.biz/kaipokebiz/business/register/user/MEM090307.do?conversationContext=7" TargetMode="External"/><Relationship Id="rId23" Type="http://schemas.openxmlformats.org/officeDocument/2006/relationships/hyperlink" Target="https://r.kaipoke.biz/kaipokebiz/business/register/user/MEM090307.do?conversationContext=7" TargetMode="External"/><Relationship Id="rId28" Type="http://schemas.openxmlformats.org/officeDocument/2006/relationships/hyperlink" Target="https://r.kaipoke.biz/kaipokebiz/business/register/user/MEM090307.do?conversationContext=7" TargetMode="External"/><Relationship Id="rId36" Type="http://schemas.openxmlformats.org/officeDocument/2006/relationships/hyperlink" Target="https://r.kaipoke.biz/kaipokebiz/business/register/user/MEM090307.do?conversationContext=7" TargetMode="External"/><Relationship Id="rId49" Type="http://schemas.openxmlformats.org/officeDocument/2006/relationships/hyperlink" Target="https://r.kaipoke.biz/kaipokebiz/business/register/user/MEM090307.do?conversationContext=7" TargetMode="External"/><Relationship Id="rId57" Type="http://schemas.openxmlformats.org/officeDocument/2006/relationships/hyperlink" Target="https://r.kaipoke.biz/kaipokebiz/business/register/user/MEM090307.do?conversationContext=7" TargetMode="External"/><Relationship Id="rId10" Type="http://schemas.openxmlformats.org/officeDocument/2006/relationships/hyperlink" Target="https://r.kaipoke.biz/kaipokebiz/business/register/user/MEM090307.do?conversationContext=7" TargetMode="External"/><Relationship Id="rId31" Type="http://schemas.openxmlformats.org/officeDocument/2006/relationships/hyperlink" Target="https://r.kaipoke.biz/kaipokebiz/business/register/user/MEM090307.do?conversationContext=7" TargetMode="External"/><Relationship Id="rId44" Type="http://schemas.openxmlformats.org/officeDocument/2006/relationships/hyperlink" Target="https://r.kaipoke.biz/kaipokebiz/business/register/user/MEM090307.do?conversationContext=7" TargetMode="External"/><Relationship Id="rId52" Type="http://schemas.openxmlformats.org/officeDocument/2006/relationships/hyperlink" Target="https://r.kaipoke.biz/kaipokebiz/business/register/user/MEM090307.do?conversationContext=7" TargetMode="External"/><Relationship Id="rId60" Type="http://schemas.openxmlformats.org/officeDocument/2006/relationships/hyperlink" Target="https://r.kaipoke.biz/kaipokebiz/business/register/user/MEM090307.do?conversationContext=7" TargetMode="External"/><Relationship Id="rId65" Type="http://schemas.openxmlformats.org/officeDocument/2006/relationships/hyperlink" Target="https://r.kaipoke.biz/kaipokebiz/business/register/user/MEM090307.do?conversationContext=7" TargetMode="External"/><Relationship Id="rId73" Type="http://schemas.openxmlformats.org/officeDocument/2006/relationships/hyperlink" Target="https://r.kaipoke.biz/kaipokebiz/business/register/user/MEM090307.do?conversationContext=7" TargetMode="External"/><Relationship Id="rId78" Type="http://schemas.openxmlformats.org/officeDocument/2006/relationships/hyperlink" Target="https://r.kaipoke.biz/kaipokebiz/business/register/user/MEM090307.do?conversationContext=7" TargetMode="External"/><Relationship Id="rId81" Type="http://schemas.openxmlformats.org/officeDocument/2006/relationships/hyperlink" Target="https://r.kaipoke.biz/kaipokebiz/business/register/user/MEM090307.do?conversationContext=7" TargetMode="External"/><Relationship Id="rId86" Type="http://schemas.openxmlformats.org/officeDocument/2006/relationships/hyperlink" Target="https://r.kaipoke.biz/kaipokebiz/business/register/user/MEM090307.do?conversationContext=7" TargetMode="External"/><Relationship Id="rId94" Type="http://schemas.openxmlformats.org/officeDocument/2006/relationships/hyperlink" Target="https://r.kaipoke.biz/kaipokebiz/business/register/user/MEM090307.do?conversationContext=7" TargetMode="External"/><Relationship Id="rId4" Type="http://schemas.openxmlformats.org/officeDocument/2006/relationships/hyperlink" Target="https://r.kaipoke.biz/kaipokebiz/business/register/user/MEM090307.do?conversationContext=7" TargetMode="External"/><Relationship Id="rId9" Type="http://schemas.openxmlformats.org/officeDocument/2006/relationships/hyperlink" Target="https://r.kaipoke.biz/kaipokebiz/business/register/user/MEM090307.do?conversationContext=7" TargetMode="External"/><Relationship Id="rId13" Type="http://schemas.openxmlformats.org/officeDocument/2006/relationships/hyperlink" Target="https://r.kaipoke.biz/kaipokebiz/business/register/user/MEM090307.do?conversationContext=7" TargetMode="External"/><Relationship Id="rId18" Type="http://schemas.openxmlformats.org/officeDocument/2006/relationships/hyperlink" Target="https://r.kaipoke.biz/kaipokebiz/business/register/user/MEM090307.do?conversationContext=7" TargetMode="External"/><Relationship Id="rId39" Type="http://schemas.openxmlformats.org/officeDocument/2006/relationships/hyperlink" Target="https://r.kaipoke.biz/kaipokebiz/business/register/user/MEM090307.do?conversationContext=7" TargetMode="External"/><Relationship Id="rId34" Type="http://schemas.openxmlformats.org/officeDocument/2006/relationships/hyperlink" Target="https://r.kaipoke.biz/kaipokebiz/business/register/user/MEM090307.do?conversationContext=7" TargetMode="External"/><Relationship Id="rId50" Type="http://schemas.openxmlformats.org/officeDocument/2006/relationships/hyperlink" Target="https://r.kaipoke.biz/kaipokebiz/business/register/user/MEM090307.do?conversationContext=7" TargetMode="External"/><Relationship Id="rId55" Type="http://schemas.openxmlformats.org/officeDocument/2006/relationships/hyperlink" Target="https://r.kaipoke.biz/kaipokebiz/business/register/user/MEM090307.do?conversationContext=7" TargetMode="External"/><Relationship Id="rId76" Type="http://schemas.openxmlformats.org/officeDocument/2006/relationships/hyperlink" Target="https://r.kaipoke.biz/kaipokebiz/business/register/user/MEM090307.do?conversationContext=7" TargetMode="External"/><Relationship Id="rId7" Type="http://schemas.openxmlformats.org/officeDocument/2006/relationships/hyperlink" Target="https://r.kaipoke.biz/kaipokebiz/business/register/user/MEM090307.do?conversationContext=7" TargetMode="External"/><Relationship Id="rId71" Type="http://schemas.openxmlformats.org/officeDocument/2006/relationships/hyperlink" Target="https://r.kaipoke.biz/kaipokebiz/business/register/user/MEM090307.do?conversationContext=7" TargetMode="External"/><Relationship Id="rId92" Type="http://schemas.openxmlformats.org/officeDocument/2006/relationships/hyperlink" Target="https://r.kaipoke.biz/kaipokebiz/business/register/user/MEM090307.do?conversationContext=7" TargetMode="External"/><Relationship Id="rId2" Type="http://schemas.openxmlformats.org/officeDocument/2006/relationships/hyperlink" Target="https://r.kaipoke.biz/kaipokebiz/business/register/user/MEM090307.do?conversationContext=7" TargetMode="External"/><Relationship Id="rId29" Type="http://schemas.openxmlformats.org/officeDocument/2006/relationships/hyperlink" Target="https://r.kaipoke.biz/kaipokebiz/business/register/user/MEM090307.do?conversationContext=7" TargetMode="External"/><Relationship Id="rId24" Type="http://schemas.openxmlformats.org/officeDocument/2006/relationships/hyperlink" Target="https://r.kaipoke.biz/kaipokebiz/business/register/user/MEM090307.do?conversationContext=7" TargetMode="External"/><Relationship Id="rId40" Type="http://schemas.openxmlformats.org/officeDocument/2006/relationships/hyperlink" Target="https://r.kaipoke.biz/kaipokebiz/business/register/user/MEM090307.do?conversationContext=7" TargetMode="External"/><Relationship Id="rId45" Type="http://schemas.openxmlformats.org/officeDocument/2006/relationships/hyperlink" Target="https://r.kaipoke.biz/kaipokebiz/business/register/user/MEM090307.do?conversationContext=7" TargetMode="External"/><Relationship Id="rId66" Type="http://schemas.openxmlformats.org/officeDocument/2006/relationships/hyperlink" Target="https://r.kaipoke.biz/kaipokebiz/business/register/user/MEM090307.do?conversationContext=7" TargetMode="External"/><Relationship Id="rId87" Type="http://schemas.openxmlformats.org/officeDocument/2006/relationships/hyperlink" Target="https://r.kaipoke.biz/kaipokebiz/business/register/user/MEM090307.do?conversationContext=7" TargetMode="External"/><Relationship Id="rId61" Type="http://schemas.openxmlformats.org/officeDocument/2006/relationships/hyperlink" Target="https://r.kaipoke.biz/kaipokebiz/business/register/user/MEM090307.do?conversationContext=7" TargetMode="External"/><Relationship Id="rId82" Type="http://schemas.openxmlformats.org/officeDocument/2006/relationships/hyperlink" Target="https://r.kaipoke.biz/kaipokebiz/business/register/user/MEM090307.do?conversationContext=7" TargetMode="External"/><Relationship Id="rId19" Type="http://schemas.openxmlformats.org/officeDocument/2006/relationships/hyperlink" Target="https://r.kaipoke.biz/kaipokebiz/business/register/user/MEM090307.do?conversationContext=7" TargetMode="External"/><Relationship Id="rId14" Type="http://schemas.openxmlformats.org/officeDocument/2006/relationships/hyperlink" Target="https://r.kaipoke.biz/kaipokebiz/business/register/user/MEM090307.do?conversationContext=7" TargetMode="External"/><Relationship Id="rId30" Type="http://schemas.openxmlformats.org/officeDocument/2006/relationships/hyperlink" Target="https://r.kaipoke.biz/kaipokebiz/business/register/user/MEM090307.do?conversationContext=7" TargetMode="External"/><Relationship Id="rId35" Type="http://schemas.openxmlformats.org/officeDocument/2006/relationships/hyperlink" Target="https://r.kaipoke.biz/kaipokebiz/business/register/user/MEM090307.do?conversationContext=7" TargetMode="External"/><Relationship Id="rId56" Type="http://schemas.openxmlformats.org/officeDocument/2006/relationships/hyperlink" Target="https://r.kaipoke.biz/kaipokebiz/business/register/user/MEM090307.do?conversationContext=7" TargetMode="External"/><Relationship Id="rId77" Type="http://schemas.openxmlformats.org/officeDocument/2006/relationships/hyperlink" Target="https://r.kaipoke.biz/kaipokebiz/business/register/user/MEM090307.do?conversationContext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DFDA-D88B-42B3-A06B-72060330DCC7}">
  <dimension ref="A1:AI113"/>
  <sheetViews>
    <sheetView tabSelected="1" topLeftCell="B1" workbookViewId="0">
      <selection activeCell="B2" sqref="B2"/>
    </sheetView>
  </sheetViews>
  <sheetFormatPr defaultRowHeight="18.75"/>
  <cols>
    <col min="1" max="1" width="11.5" hidden="1" customWidth="1"/>
    <col min="2" max="2" width="17.25" bestFit="1" customWidth="1"/>
    <col min="3" max="3" width="17.75" hidden="1" customWidth="1"/>
    <col min="4" max="4" width="17.75" customWidth="1"/>
    <col min="6" max="6" width="11" bestFit="1" customWidth="1"/>
    <col min="8" max="8" width="13" bestFit="1" customWidth="1"/>
    <col min="9" max="9" width="11.375" bestFit="1" customWidth="1"/>
    <col min="10" max="11" width="19.25" bestFit="1" customWidth="1"/>
    <col min="12" max="12" width="11.5" hidden="1" customWidth="1"/>
    <col min="13" max="13" width="17.25" bestFit="1" customWidth="1"/>
    <col min="14" max="14" width="24" hidden="1" customWidth="1"/>
    <col min="15" max="15" width="24" customWidth="1"/>
    <col min="16" max="16" width="11" bestFit="1" customWidth="1"/>
    <col min="17" max="17" width="15.125" bestFit="1" customWidth="1"/>
    <col min="18" max="18" width="19.25" bestFit="1" customWidth="1"/>
    <col min="19" max="19" width="17.25" bestFit="1" customWidth="1"/>
    <col min="20" max="23" width="23.5" bestFit="1" customWidth="1"/>
    <col min="24" max="24" width="13" bestFit="1" customWidth="1"/>
    <col min="25" max="25" width="44" bestFit="1" customWidth="1"/>
    <col min="26" max="26" width="44.125" bestFit="1" customWidth="1"/>
    <col min="27" max="27" width="11" bestFit="1" customWidth="1"/>
    <col min="28" max="29" width="15.125" bestFit="1" customWidth="1"/>
    <col min="30" max="30" width="39.75" bestFit="1" customWidth="1"/>
    <col min="31" max="31" width="44.125" bestFit="1" customWidth="1"/>
    <col min="32" max="32" width="11" bestFit="1" customWidth="1"/>
    <col min="33" max="33" width="11.375" bestFit="1" customWidth="1"/>
    <col min="34" max="34" width="40.125" bestFit="1" customWidth="1"/>
    <col min="35" max="35" width="27.8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tr">
        <f t="shared" ref="B2:D65" si="0">SUBSTITUTE(REPLACE(A2,1,1,"〇"),MID(A2,LEN(A2)-1,1),"〇")</f>
        <v>〇川 〇子</v>
      </c>
      <c r="C2" t="s">
        <v>36</v>
      </c>
      <c r="D2" t="str">
        <f t="shared" si="0"/>
        <v>〇シカワ ナ〇コ</v>
      </c>
      <c r="E2" t="s">
        <v>37</v>
      </c>
      <c r="F2">
        <v>272070</v>
      </c>
      <c r="G2" t="s">
        <v>38</v>
      </c>
      <c r="H2">
        <v>8551023818</v>
      </c>
      <c r="J2" s="7">
        <v>45108</v>
      </c>
      <c r="K2" s="7">
        <v>45473</v>
      </c>
      <c r="L2" t="s">
        <v>39</v>
      </c>
      <c r="M2" t="str">
        <f t="shared" ref="M2:O65" si="1">SUBSTITUTE(REPLACE(L2,1,1,"〇"),MID(L2,LEN(L2)-1,1),"〇")</f>
        <v>〇川 〇祐</v>
      </c>
      <c r="N2" t="s">
        <v>40</v>
      </c>
      <c r="O2" t="str">
        <f t="shared" si="1"/>
        <v>〇シカワ オウ〇ケ</v>
      </c>
      <c r="P2" t="s">
        <v>41</v>
      </c>
      <c r="Q2" s="7">
        <v>42131</v>
      </c>
      <c r="R2" s="7">
        <v>45084</v>
      </c>
      <c r="S2" t="s">
        <v>42</v>
      </c>
      <c r="T2" t="s">
        <v>42</v>
      </c>
      <c r="U2" t="s">
        <v>42</v>
      </c>
      <c r="W2">
        <v>1</v>
      </c>
      <c r="X2">
        <v>4600</v>
      </c>
      <c r="Z2" t="s">
        <v>43</v>
      </c>
      <c r="AA2">
        <v>10</v>
      </c>
      <c r="AB2" s="7">
        <v>45108</v>
      </c>
      <c r="AD2" t="s">
        <v>44</v>
      </c>
      <c r="AE2" t="s">
        <v>43</v>
      </c>
      <c r="AF2">
        <v>5</v>
      </c>
      <c r="AG2" s="7">
        <v>45108</v>
      </c>
      <c r="AH2" s="7">
        <v>45412</v>
      </c>
    </row>
    <row r="3" spans="1:35">
      <c r="A3" t="s">
        <v>45</v>
      </c>
      <c r="B3" t="str">
        <f t="shared" si="0"/>
        <v>〇本 真〇史</v>
      </c>
      <c r="C3" t="s">
        <v>46</v>
      </c>
      <c r="D3" t="str">
        <f t="shared" si="0"/>
        <v>〇マモト マ〇シ</v>
      </c>
      <c r="E3" t="s">
        <v>37</v>
      </c>
      <c r="F3">
        <v>272070</v>
      </c>
      <c r="G3" t="s">
        <v>38</v>
      </c>
      <c r="H3">
        <v>8551011623</v>
      </c>
      <c r="I3" s="7">
        <v>45098</v>
      </c>
      <c r="J3" s="7">
        <v>45108</v>
      </c>
      <c r="K3" s="7">
        <v>45473</v>
      </c>
      <c r="L3" t="s">
        <v>47</v>
      </c>
      <c r="M3" t="str">
        <f t="shared" si="1"/>
        <v>〇本〇頼</v>
      </c>
      <c r="N3" t="s">
        <v>48</v>
      </c>
      <c r="O3" t="str">
        <f t="shared" ref="O3" si="2">SUBSTITUTE(REPLACE(N3,1,1,"〇"),MID(N3,LEN(N3)-1,1),"〇")</f>
        <v>〇マモト 〇イ</v>
      </c>
      <c r="P3" t="s">
        <v>41</v>
      </c>
      <c r="Q3" s="7">
        <v>40687</v>
      </c>
      <c r="R3" s="7">
        <v>44327</v>
      </c>
      <c r="S3" t="s">
        <v>42</v>
      </c>
      <c r="T3" t="s">
        <v>42</v>
      </c>
      <c r="U3" t="s">
        <v>42</v>
      </c>
      <c r="W3">
        <v>1</v>
      </c>
      <c r="X3">
        <v>4600</v>
      </c>
      <c r="Y3" t="s">
        <v>49</v>
      </c>
      <c r="Z3" t="s">
        <v>43</v>
      </c>
      <c r="AA3">
        <v>15</v>
      </c>
      <c r="AB3" s="7">
        <v>45108</v>
      </c>
      <c r="AC3" s="7">
        <v>45473</v>
      </c>
      <c r="AD3" t="s">
        <v>44</v>
      </c>
      <c r="AE3" t="s">
        <v>43</v>
      </c>
      <c r="AF3">
        <v>5</v>
      </c>
      <c r="AG3" s="7">
        <v>45108</v>
      </c>
      <c r="AH3" s="7">
        <v>45382</v>
      </c>
      <c r="AI3" t="s">
        <v>50</v>
      </c>
    </row>
    <row r="4" spans="1:35">
      <c r="A4" t="s">
        <v>51</v>
      </c>
      <c r="B4" t="str">
        <f t="shared" si="0"/>
        <v>〇川 〇香</v>
      </c>
      <c r="C4" t="s">
        <v>52</v>
      </c>
      <c r="D4" t="str">
        <f t="shared" si="0"/>
        <v>〇ルカワ 〇カ</v>
      </c>
      <c r="E4" t="s">
        <v>37</v>
      </c>
      <c r="F4">
        <v>272070</v>
      </c>
      <c r="G4" t="s">
        <v>38</v>
      </c>
      <c r="H4">
        <v>3100013915</v>
      </c>
      <c r="I4" s="7">
        <v>45303</v>
      </c>
      <c r="J4" s="7">
        <v>45323</v>
      </c>
      <c r="K4" s="7">
        <v>45688</v>
      </c>
      <c r="L4" t="s">
        <v>53</v>
      </c>
      <c r="M4" t="str">
        <f t="shared" si="1"/>
        <v>〇川 〇師</v>
      </c>
      <c r="N4" t="s">
        <v>54</v>
      </c>
      <c r="O4" t="str">
        <f t="shared" ref="O4" si="3">SUBSTITUTE(REPLACE(N4,1,1,"〇"),MID(N4,LEN(N4)-1,1),"〇")</f>
        <v>〇ルカワ タケ〇ト</v>
      </c>
      <c r="P4" t="s">
        <v>41</v>
      </c>
      <c r="Q4" s="7">
        <v>39805</v>
      </c>
      <c r="R4" s="7">
        <v>44309</v>
      </c>
      <c r="S4" t="s">
        <v>42</v>
      </c>
      <c r="T4" t="s">
        <v>42</v>
      </c>
      <c r="U4" t="s">
        <v>42</v>
      </c>
      <c r="W4">
        <v>1</v>
      </c>
      <c r="X4">
        <v>37200</v>
      </c>
      <c r="Z4" t="s">
        <v>43</v>
      </c>
      <c r="AA4">
        <v>10</v>
      </c>
      <c r="AB4" s="7">
        <v>45323</v>
      </c>
      <c r="AC4" s="7">
        <v>45688</v>
      </c>
      <c r="AD4" t="s">
        <v>44</v>
      </c>
      <c r="AE4" t="s">
        <v>43</v>
      </c>
      <c r="AF4">
        <v>5</v>
      </c>
      <c r="AG4" s="7">
        <v>45323</v>
      </c>
      <c r="AH4" s="7">
        <v>45688</v>
      </c>
    </row>
    <row r="5" spans="1:35">
      <c r="A5" t="s">
        <v>55</v>
      </c>
      <c r="B5" t="str">
        <f t="shared" si="0"/>
        <v>〇田 〇月</v>
      </c>
      <c r="C5" t="s">
        <v>56</v>
      </c>
      <c r="D5" t="str">
        <f t="shared" si="0"/>
        <v>〇ラダ ハ〇キ</v>
      </c>
      <c r="E5" t="s">
        <v>37</v>
      </c>
      <c r="F5">
        <v>272070</v>
      </c>
      <c r="G5" t="s">
        <v>38</v>
      </c>
      <c r="H5">
        <v>8551022034</v>
      </c>
      <c r="I5" s="7">
        <v>44963</v>
      </c>
      <c r="J5" s="7">
        <v>45383</v>
      </c>
      <c r="K5" s="7">
        <v>45747</v>
      </c>
      <c r="L5" t="s">
        <v>57</v>
      </c>
      <c r="M5" t="str">
        <f t="shared" si="1"/>
        <v>〇田 〇空</v>
      </c>
      <c r="N5" t="s">
        <v>58</v>
      </c>
      <c r="O5" t="str">
        <f t="shared" ref="O5" si="4">SUBSTITUTE(REPLACE(N5,1,1,"〇"),MID(N5,LEN(N5)-1,1),"〇")</f>
        <v>〇ラダ 〇ラ</v>
      </c>
      <c r="P5" t="s">
        <v>41</v>
      </c>
      <c r="Q5" s="7">
        <v>40958</v>
      </c>
      <c r="R5" s="7">
        <v>44794</v>
      </c>
      <c r="S5" t="s">
        <v>42</v>
      </c>
      <c r="T5" t="s">
        <v>42</v>
      </c>
      <c r="U5" t="s">
        <v>42</v>
      </c>
      <c r="V5" t="s">
        <v>42</v>
      </c>
      <c r="W5">
        <v>1</v>
      </c>
      <c r="X5">
        <v>4600</v>
      </c>
      <c r="Z5" t="s">
        <v>43</v>
      </c>
      <c r="AA5">
        <v>14</v>
      </c>
      <c r="AB5" s="7">
        <v>45383</v>
      </c>
      <c r="AD5" t="s">
        <v>44</v>
      </c>
      <c r="AE5" t="s">
        <v>43</v>
      </c>
      <c r="AF5">
        <v>10</v>
      </c>
      <c r="AG5" s="7">
        <v>45383</v>
      </c>
      <c r="AH5" s="7">
        <v>45412</v>
      </c>
    </row>
    <row r="6" spans="1:35">
      <c r="A6" t="s">
        <v>59</v>
      </c>
      <c r="B6" t="str">
        <f t="shared" si="0"/>
        <v>〇杉 〇代</v>
      </c>
      <c r="C6" t="s">
        <v>60</v>
      </c>
      <c r="D6" t="str">
        <f t="shared" si="0"/>
        <v>〇カスギ ヒ〇ヨ</v>
      </c>
      <c r="E6" t="s">
        <v>37</v>
      </c>
      <c r="F6">
        <v>272070</v>
      </c>
      <c r="G6" t="s">
        <v>38</v>
      </c>
      <c r="H6">
        <v>8551007811</v>
      </c>
      <c r="I6" s="7">
        <v>45383</v>
      </c>
      <c r="J6" s="7">
        <v>45383</v>
      </c>
      <c r="K6" s="7">
        <v>45747</v>
      </c>
      <c r="L6" t="s">
        <v>61</v>
      </c>
      <c r="M6" t="str">
        <f t="shared" si="1"/>
        <v>〇杉 綸〇介</v>
      </c>
      <c r="N6" t="s">
        <v>62</v>
      </c>
      <c r="O6" t="str">
        <f t="shared" ref="O6" si="5">SUBSTITUTE(REPLACE(N6,1,1,"〇"),MID(N6,LEN(N6)-1,1),"〇")</f>
        <v>〇カ〇ギ リンノ〇ケ</v>
      </c>
      <c r="P6" t="s">
        <v>41</v>
      </c>
      <c r="Q6" s="7">
        <v>40582</v>
      </c>
      <c r="R6" s="7">
        <v>45383</v>
      </c>
      <c r="S6" t="s">
        <v>42</v>
      </c>
      <c r="T6" t="s">
        <v>42</v>
      </c>
      <c r="U6" t="s">
        <v>42</v>
      </c>
      <c r="V6" t="s">
        <v>42</v>
      </c>
      <c r="W6">
        <v>1</v>
      </c>
      <c r="X6">
        <v>4600</v>
      </c>
      <c r="Z6" t="s">
        <v>43</v>
      </c>
      <c r="AA6">
        <v>5</v>
      </c>
      <c r="AB6" s="7">
        <v>45383</v>
      </c>
      <c r="AC6" s="7">
        <v>45747</v>
      </c>
      <c r="AD6" t="s">
        <v>44</v>
      </c>
      <c r="AE6" t="s">
        <v>43</v>
      </c>
      <c r="AF6">
        <v>5</v>
      </c>
      <c r="AG6" s="7">
        <v>45383</v>
      </c>
      <c r="AH6" s="7">
        <v>45747</v>
      </c>
    </row>
    <row r="7" spans="1:35">
      <c r="A7" t="s">
        <v>63</v>
      </c>
      <c r="B7" t="str">
        <f t="shared" si="0"/>
        <v>〇藤 亜〇子</v>
      </c>
      <c r="C7" t="s">
        <v>64</v>
      </c>
      <c r="D7" t="str">
        <f t="shared" si="0"/>
        <v>〇トウ ア〇コ</v>
      </c>
      <c r="E7" t="s">
        <v>37</v>
      </c>
      <c r="F7">
        <v>272070</v>
      </c>
      <c r="G7" t="s">
        <v>38</v>
      </c>
      <c r="H7">
        <v>8551051892</v>
      </c>
      <c r="J7" s="7">
        <v>45474</v>
      </c>
      <c r="K7" s="7">
        <v>45838</v>
      </c>
      <c r="L7" t="s">
        <v>65</v>
      </c>
      <c r="M7" t="str">
        <f t="shared" si="1"/>
        <v>〇藤 〇人</v>
      </c>
      <c r="N7" t="s">
        <v>66</v>
      </c>
      <c r="O7" t="str">
        <f t="shared" ref="O7" si="6">SUBSTITUTE(REPLACE(N7,1,1,"〇"),MID(N7,LEN(N7)-1,1),"〇")</f>
        <v>〇トウ ナ〇ト</v>
      </c>
      <c r="P7" t="s">
        <v>41</v>
      </c>
      <c r="Q7" s="7">
        <v>42139</v>
      </c>
      <c r="R7" s="7">
        <v>45748</v>
      </c>
      <c r="S7" t="s">
        <v>42</v>
      </c>
      <c r="T7" t="s">
        <v>42</v>
      </c>
      <c r="U7" t="s">
        <v>42</v>
      </c>
      <c r="V7" t="s">
        <v>42</v>
      </c>
      <c r="W7">
        <v>1</v>
      </c>
      <c r="X7">
        <v>4600</v>
      </c>
      <c r="Y7" t="s">
        <v>44</v>
      </c>
      <c r="Z7" t="s">
        <v>43</v>
      </c>
      <c r="AA7">
        <v>10</v>
      </c>
      <c r="AB7" s="7">
        <v>45474</v>
      </c>
      <c r="AD7" t="s">
        <v>44</v>
      </c>
      <c r="AE7" t="s">
        <v>43</v>
      </c>
      <c r="AF7">
        <v>5</v>
      </c>
      <c r="AG7" s="7">
        <v>45474</v>
      </c>
    </row>
    <row r="8" spans="1:35">
      <c r="A8" t="s">
        <v>67</v>
      </c>
      <c r="B8" t="str">
        <f t="shared" si="0"/>
        <v>〇田 〇乃</v>
      </c>
      <c r="C8" t="s">
        <v>68</v>
      </c>
      <c r="D8" t="str">
        <f t="shared" si="0"/>
        <v>〇ロダ ア〇ノ</v>
      </c>
      <c r="E8" t="s">
        <v>37</v>
      </c>
      <c r="F8">
        <v>272070</v>
      </c>
      <c r="G8" t="s">
        <v>38</v>
      </c>
      <c r="H8">
        <v>8551029310</v>
      </c>
      <c r="J8" s="7">
        <v>45474</v>
      </c>
      <c r="K8" s="7">
        <v>45838</v>
      </c>
      <c r="L8" t="s">
        <v>69</v>
      </c>
      <c r="M8" t="str">
        <f t="shared" si="1"/>
        <v>〇田 〇世</v>
      </c>
      <c r="N8" t="s">
        <v>70</v>
      </c>
      <c r="O8" t="str">
        <f t="shared" ref="O8" si="7">SUBSTITUTE(REPLACE(N8,1,1,"〇"),MID(N8,LEN(N8)-1,1),"〇")</f>
        <v>〇ロダ ユウ〇イ</v>
      </c>
      <c r="P8" t="s">
        <v>41</v>
      </c>
      <c r="Q8" s="7">
        <v>42140</v>
      </c>
      <c r="R8" s="7">
        <v>45748</v>
      </c>
      <c r="S8" t="s">
        <v>42</v>
      </c>
      <c r="T8" t="s">
        <v>42</v>
      </c>
      <c r="U8" t="s">
        <v>42</v>
      </c>
      <c r="V8" t="s">
        <v>42</v>
      </c>
      <c r="W8">
        <v>1</v>
      </c>
      <c r="X8">
        <v>37200</v>
      </c>
      <c r="Z8" t="s">
        <v>43</v>
      </c>
      <c r="AA8">
        <v>10</v>
      </c>
      <c r="AB8" s="7">
        <v>45474</v>
      </c>
      <c r="AD8" t="s">
        <v>44</v>
      </c>
      <c r="AE8" t="s">
        <v>43</v>
      </c>
      <c r="AF8">
        <v>5</v>
      </c>
      <c r="AG8" s="7">
        <v>45474</v>
      </c>
    </row>
    <row r="9" spans="1:35">
      <c r="A9" t="s">
        <v>71</v>
      </c>
      <c r="B9" t="str">
        <f t="shared" si="0"/>
        <v>〇本 〇子</v>
      </c>
      <c r="C9" t="s">
        <v>72</v>
      </c>
      <c r="D9" t="str">
        <f t="shared" si="0"/>
        <v>〇カモト カ〇コ</v>
      </c>
      <c r="E9" t="s">
        <v>37</v>
      </c>
      <c r="F9">
        <v>272070</v>
      </c>
      <c r="G9" t="s">
        <v>38</v>
      </c>
      <c r="H9">
        <v>8551027694</v>
      </c>
      <c r="J9" s="7">
        <v>45474</v>
      </c>
      <c r="K9" s="7">
        <v>45838</v>
      </c>
      <c r="L9" t="s">
        <v>73</v>
      </c>
      <c r="M9" t="str">
        <f t="shared" si="1"/>
        <v>〇本 〇真</v>
      </c>
      <c r="N9" t="s">
        <v>74</v>
      </c>
      <c r="O9" t="str">
        <f t="shared" ref="O9" si="8">SUBSTITUTE(REPLACE(N9,1,1,"〇"),MID(N9,LEN(N9)-1,1),"〇")</f>
        <v>〇カモト ユ〇マ</v>
      </c>
      <c r="P9" t="s">
        <v>41</v>
      </c>
      <c r="Q9" s="7">
        <v>42499</v>
      </c>
      <c r="R9" s="7">
        <v>45748</v>
      </c>
      <c r="S9" t="s">
        <v>42</v>
      </c>
      <c r="T9" t="s">
        <v>75</v>
      </c>
      <c r="U9" t="s">
        <v>42</v>
      </c>
      <c r="V9" t="s">
        <v>42</v>
      </c>
      <c r="W9">
        <v>1</v>
      </c>
      <c r="X9">
        <v>4600</v>
      </c>
      <c r="Z9" t="s">
        <v>43</v>
      </c>
      <c r="AA9">
        <v>10</v>
      </c>
      <c r="AB9" s="7">
        <v>45474</v>
      </c>
      <c r="AC9" s="7">
        <v>45838</v>
      </c>
      <c r="AD9" t="s">
        <v>44</v>
      </c>
      <c r="AE9" t="s">
        <v>43</v>
      </c>
      <c r="AF9">
        <v>5</v>
      </c>
      <c r="AG9" s="7">
        <v>45748</v>
      </c>
      <c r="AH9" s="7">
        <v>45838</v>
      </c>
    </row>
    <row r="10" spans="1:35">
      <c r="A10" t="s">
        <v>76</v>
      </c>
      <c r="B10" t="str">
        <f t="shared" si="0"/>
        <v>〇郷 〇佑</v>
      </c>
      <c r="C10" t="s">
        <v>77</v>
      </c>
      <c r="D10" t="str">
        <f t="shared" si="0"/>
        <v>〇ンゴウ マ〇ウ</v>
      </c>
      <c r="E10" t="s">
        <v>37</v>
      </c>
      <c r="F10">
        <v>272070</v>
      </c>
      <c r="G10" t="s">
        <v>38</v>
      </c>
      <c r="H10">
        <v>8551024469</v>
      </c>
      <c r="I10" s="7">
        <v>45096</v>
      </c>
      <c r="J10" s="7">
        <v>45474</v>
      </c>
      <c r="K10" s="7">
        <v>45838</v>
      </c>
      <c r="L10" t="s">
        <v>78</v>
      </c>
      <c r="M10" t="str">
        <f t="shared" si="1"/>
        <v>〇郷 〇匠</v>
      </c>
      <c r="N10" t="s">
        <v>79</v>
      </c>
      <c r="O10" t="str">
        <f t="shared" ref="O10" si="9">SUBSTITUTE(REPLACE(N10,1,1,"〇"),MID(N10,LEN(N10)-1,1),"〇")</f>
        <v>〇〇ゴウ シュ〇タ</v>
      </c>
      <c r="P10" t="s">
        <v>41</v>
      </c>
      <c r="Q10" s="7">
        <v>39946</v>
      </c>
      <c r="R10" s="7">
        <v>45108</v>
      </c>
      <c r="S10" t="s">
        <v>42</v>
      </c>
      <c r="T10" t="s">
        <v>75</v>
      </c>
      <c r="U10" t="s">
        <v>42</v>
      </c>
      <c r="V10" t="s">
        <v>42</v>
      </c>
      <c r="W10">
        <v>1</v>
      </c>
      <c r="X10">
        <v>0</v>
      </c>
      <c r="Z10" t="s">
        <v>43</v>
      </c>
      <c r="AA10">
        <v>18</v>
      </c>
      <c r="AB10" s="7">
        <v>45474</v>
      </c>
      <c r="AD10" t="s">
        <v>44</v>
      </c>
      <c r="AE10" t="s">
        <v>43</v>
      </c>
      <c r="AF10">
        <v>5</v>
      </c>
      <c r="AG10" s="7">
        <v>45474</v>
      </c>
      <c r="AI10" t="s">
        <v>80</v>
      </c>
    </row>
    <row r="11" spans="1:35">
      <c r="A11" t="s">
        <v>81</v>
      </c>
      <c r="B11" t="str">
        <f t="shared" si="0"/>
        <v>〇尾 〇宏</v>
      </c>
      <c r="C11" t="s">
        <v>82</v>
      </c>
      <c r="D11" t="str">
        <f t="shared" si="0"/>
        <v>〇スオ トモ〇ロ</v>
      </c>
      <c r="E11" t="s">
        <v>37</v>
      </c>
      <c r="F11">
        <v>272070</v>
      </c>
      <c r="G11" t="s">
        <v>38</v>
      </c>
      <c r="H11">
        <v>8551011664</v>
      </c>
      <c r="I11" s="7">
        <v>45098</v>
      </c>
      <c r="J11" s="7">
        <v>45474</v>
      </c>
      <c r="K11" s="7">
        <v>45838</v>
      </c>
      <c r="L11" t="s">
        <v>83</v>
      </c>
      <c r="M11" t="str">
        <f t="shared" si="1"/>
        <v>〇尾 〇斗</v>
      </c>
      <c r="N11" t="s">
        <v>84</v>
      </c>
      <c r="O11" t="str">
        <f t="shared" ref="O11" si="10">SUBSTITUTE(REPLACE(N11,1,1,"〇"),MID(N11,LEN(N11)-1,1),"〇")</f>
        <v>〇スオ ハ〇ト</v>
      </c>
      <c r="P11" t="s">
        <v>41</v>
      </c>
      <c r="Q11" s="7">
        <v>40675</v>
      </c>
      <c r="R11" s="7">
        <v>43887</v>
      </c>
      <c r="S11" t="s">
        <v>42</v>
      </c>
      <c r="T11" t="s">
        <v>42</v>
      </c>
      <c r="U11" t="s">
        <v>42</v>
      </c>
      <c r="V11" t="s">
        <v>42</v>
      </c>
      <c r="W11">
        <v>1</v>
      </c>
      <c r="X11">
        <v>4600</v>
      </c>
      <c r="Y11" t="s">
        <v>44</v>
      </c>
      <c r="Z11" t="s">
        <v>43</v>
      </c>
      <c r="AA11">
        <v>10</v>
      </c>
      <c r="AB11" s="7">
        <v>45474</v>
      </c>
      <c r="AD11" t="s">
        <v>44</v>
      </c>
      <c r="AE11" t="s">
        <v>43</v>
      </c>
      <c r="AF11">
        <v>5</v>
      </c>
      <c r="AG11" s="7">
        <v>45474</v>
      </c>
      <c r="AI11" t="s">
        <v>85</v>
      </c>
    </row>
    <row r="12" spans="1:35">
      <c r="A12" t="s">
        <v>86</v>
      </c>
      <c r="B12" t="str">
        <f t="shared" si="0"/>
        <v>〇田 み〇ほ</v>
      </c>
      <c r="C12" t="s">
        <v>87</v>
      </c>
      <c r="D12" t="str">
        <f t="shared" si="0"/>
        <v>〇ツダ ミ〇ホ</v>
      </c>
      <c r="E12" t="s">
        <v>37</v>
      </c>
      <c r="F12">
        <v>272070</v>
      </c>
      <c r="G12" t="s">
        <v>38</v>
      </c>
      <c r="H12">
        <v>8551022505</v>
      </c>
      <c r="J12" s="7">
        <v>45474</v>
      </c>
      <c r="K12" s="7">
        <v>45838</v>
      </c>
      <c r="L12" t="s">
        <v>88</v>
      </c>
      <c r="M12" t="str">
        <f t="shared" si="1"/>
        <v>〇田 〇希</v>
      </c>
      <c r="N12" t="s">
        <v>89</v>
      </c>
      <c r="O12" t="str">
        <f t="shared" ref="O12" si="11">SUBSTITUTE(REPLACE(N12,1,1,"〇"),MID(N12,LEN(N12)-1,1),"〇")</f>
        <v>〇ツダ ユ〇キ</v>
      </c>
      <c r="P12" t="s">
        <v>41</v>
      </c>
      <c r="Q12" s="7">
        <v>41053</v>
      </c>
      <c r="R12" s="7">
        <v>45748</v>
      </c>
      <c r="S12" t="s">
        <v>42</v>
      </c>
      <c r="T12" t="s">
        <v>42</v>
      </c>
      <c r="U12" t="s">
        <v>42</v>
      </c>
      <c r="V12" t="s">
        <v>42</v>
      </c>
      <c r="W12">
        <v>1</v>
      </c>
      <c r="X12">
        <v>4600</v>
      </c>
      <c r="Z12" t="s">
        <v>43</v>
      </c>
      <c r="AA12">
        <v>10</v>
      </c>
      <c r="AB12" s="7">
        <v>45474</v>
      </c>
      <c r="AD12" t="s">
        <v>44</v>
      </c>
      <c r="AE12" t="s">
        <v>43</v>
      </c>
      <c r="AF12">
        <v>5</v>
      </c>
      <c r="AG12" s="7">
        <v>45725</v>
      </c>
    </row>
    <row r="13" spans="1:35">
      <c r="A13" t="s">
        <v>90</v>
      </c>
      <c r="B13" t="str">
        <f t="shared" si="0"/>
        <v>〇本 木〇子</v>
      </c>
      <c r="C13" t="s">
        <v>91</v>
      </c>
      <c r="D13" t="str">
        <f t="shared" si="0"/>
        <v>〇マモト ユ〇コ</v>
      </c>
      <c r="E13" t="s">
        <v>37</v>
      </c>
      <c r="F13">
        <v>272070</v>
      </c>
      <c r="G13" t="s">
        <v>38</v>
      </c>
      <c r="H13">
        <v>8551024170</v>
      </c>
      <c r="J13" s="7">
        <v>45474</v>
      </c>
      <c r="K13" s="7">
        <v>45838</v>
      </c>
      <c r="L13" t="s">
        <v>92</v>
      </c>
      <c r="M13" t="str">
        <f t="shared" si="1"/>
        <v>〇本 〇成</v>
      </c>
      <c r="N13" t="s">
        <v>93</v>
      </c>
      <c r="O13" t="str">
        <f t="shared" ref="O13" si="12">SUBSTITUTE(REPLACE(N13,1,1,"〇"),MID(N13,LEN(N13)-1,1),"〇")</f>
        <v>〇マモト ユウ〇イ</v>
      </c>
      <c r="P13" t="s">
        <v>41</v>
      </c>
      <c r="Q13" s="7">
        <v>42137</v>
      </c>
      <c r="R13" s="7">
        <v>44639</v>
      </c>
      <c r="S13" t="s">
        <v>42</v>
      </c>
      <c r="T13" t="s">
        <v>42</v>
      </c>
      <c r="U13" t="s">
        <v>42</v>
      </c>
      <c r="V13" t="s">
        <v>42</v>
      </c>
      <c r="W13">
        <v>1</v>
      </c>
      <c r="X13">
        <v>4600</v>
      </c>
      <c r="Y13" t="s">
        <v>44</v>
      </c>
      <c r="Z13" t="s">
        <v>43</v>
      </c>
      <c r="AA13">
        <v>14</v>
      </c>
      <c r="AB13" s="7">
        <v>45474</v>
      </c>
      <c r="AD13" t="s">
        <v>44</v>
      </c>
      <c r="AE13" t="s">
        <v>43</v>
      </c>
      <c r="AF13">
        <v>5</v>
      </c>
      <c r="AG13" s="7">
        <v>45474</v>
      </c>
      <c r="AI13" t="s">
        <v>85</v>
      </c>
    </row>
    <row r="14" spans="1:35">
      <c r="A14" t="s">
        <v>94</v>
      </c>
      <c r="B14" t="str">
        <f t="shared" si="0"/>
        <v>〇矢 〇美</v>
      </c>
      <c r="C14" t="s">
        <v>95</v>
      </c>
      <c r="D14" t="str">
        <f t="shared" si="0"/>
        <v>〇オヤ ヒ〇ミ</v>
      </c>
      <c r="E14" t="s">
        <v>37</v>
      </c>
      <c r="F14">
        <v>272070</v>
      </c>
      <c r="G14" t="s">
        <v>38</v>
      </c>
      <c r="H14">
        <v>8551056057</v>
      </c>
      <c r="I14" s="7">
        <v>45120</v>
      </c>
      <c r="J14" s="7">
        <v>45505</v>
      </c>
      <c r="K14" s="7">
        <v>45869</v>
      </c>
      <c r="L14" t="s">
        <v>96</v>
      </c>
      <c r="M14" t="str">
        <f t="shared" si="1"/>
        <v>〇矢 〇穂</v>
      </c>
      <c r="N14" t="s">
        <v>97</v>
      </c>
      <c r="O14" t="str">
        <f t="shared" ref="O14" si="13">SUBSTITUTE(REPLACE(N14,1,1,"〇"),MID(N14,LEN(N14)-1,1),"〇")</f>
        <v>〇オヤ 〇ホ</v>
      </c>
      <c r="P14" t="s">
        <v>98</v>
      </c>
      <c r="Q14" s="7">
        <v>41815</v>
      </c>
      <c r="R14" s="7">
        <v>44713</v>
      </c>
      <c r="S14" t="s">
        <v>42</v>
      </c>
      <c r="T14" t="s">
        <v>42</v>
      </c>
      <c r="U14" t="s">
        <v>42</v>
      </c>
      <c r="V14" t="s">
        <v>42</v>
      </c>
      <c r="W14">
        <v>1</v>
      </c>
      <c r="X14">
        <v>4600</v>
      </c>
      <c r="Y14" t="s">
        <v>44</v>
      </c>
      <c r="Z14" t="s">
        <v>43</v>
      </c>
      <c r="AA14">
        <v>14</v>
      </c>
      <c r="AB14" s="7">
        <v>45505</v>
      </c>
      <c r="AD14" t="s">
        <v>44</v>
      </c>
      <c r="AE14" t="s">
        <v>43</v>
      </c>
      <c r="AF14">
        <v>10</v>
      </c>
      <c r="AG14" s="7">
        <v>45505</v>
      </c>
    </row>
    <row r="15" spans="1:35">
      <c r="A15" t="s">
        <v>99</v>
      </c>
      <c r="B15" t="str">
        <f t="shared" si="0"/>
        <v>〇上 〇菜</v>
      </c>
      <c r="C15" t="s">
        <v>100</v>
      </c>
      <c r="D15" t="str">
        <f t="shared" si="0"/>
        <v>〇ワカミ ハ〇ナ</v>
      </c>
      <c r="E15" t="s">
        <v>37</v>
      </c>
      <c r="F15">
        <v>272070</v>
      </c>
      <c r="G15" t="s">
        <v>38</v>
      </c>
      <c r="H15">
        <v>8551020822</v>
      </c>
      <c r="J15" s="7">
        <v>45505</v>
      </c>
      <c r="K15" s="7">
        <v>45869</v>
      </c>
      <c r="L15" t="s">
        <v>101</v>
      </c>
      <c r="M15" t="str">
        <f t="shared" si="1"/>
        <v>〇上 〇太</v>
      </c>
      <c r="N15" t="s">
        <v>102</v>
      </c>
      <c r="O15" t="str">
        <f t="shared" ref="O15" si="14">SUBSTITUTE(REPLACE(N15,1,1,"〇"),MID(N15,LEN(N15)-1,1),"〇")</f>
        <v>〇ワカミ リョ〇タ</v>
      </c>
      <c r="P15" t="s">
        <v>41</v>
      </c>
      <c r="Q15" s="7">
        <v>41817</v>
      </c>
      <c r="R15" s="7">
        <v>44899</v>
      </c>
      <c r="S15" t="s">
        <v>42</v>
      </c>
      <c r="T15" t="s">
        <v>75</v>
      </c>
      <c r="U15" t="s">
        <v>42</v>
      </c>
      <c r="V15" t="s">
        <v>42</v>
      </c>
      <c r="W15">
        <v>1</v>
      </c>
      <c r="X15">
        <v>37200</v>
      </c>
      <c r="Z15" t="s">
        <v>43</v>
      </c>
      <c r="AA15">
        <v>14</v>
      </c>
      <c r="AB15" s="7">
        <v>45505</v>
      </c>
      <c r="AD15" t="s">
        <v>44</v>
      </c>
      <c r="AE15" t="s">
        <v>43</v>
      </c>
      <c r="AF15">
        <v>5</v>
      </c>
      <c r="AG15" s="7">
        <v>45505</v>
      </c>
      <c r="AI15" t="s">
        <v>103</v>
      </c>
    </row>
    <row r="16" spans="1:35">
      <c r="A16" t="s">
        <v>104</v>
      </c>
      <c r="B16" t="str">
        <f t="shared" si="0"/>
        <v>〇元 〇穂</v>
      </c>
      <c r="C16" t="s">
        <v>105</v>
      </c>
      <c r="D16" t="str">
        <f t="shared" si="0"/>
        <v>〇ワモト 〇ホ</v>
      </c>
      <c r="E16" t="s">
        <v>37</v>
      </c>
      <c r="F16">
        <v>272070</v>
      </c>
      <c r="G16" t="s">
        <v>38</v>
      </c>
      <c r="H16">
        <v>8551018982</v>
      </c>
      <c r="J16" s="7">
        <v>45505</v>
      </c>
      <c r="K16" s="7">
        <v>45869</v>
      </c>
      <c r="L16" t="s">
        <v>106</v>
      </c>
      <c r="M16" t="str">
        <f t="shared" si="1"/>
        <v>〇元 〇太</v>
      </c>
      <c r="N16" t="s">
        <v>107</v>
      </c>
      <c r="O16" t="str">
        <f t="shared" ref="O16" si="15">SUBSTITUTE(REPLACE(N16,1,1,"〇"),MID(N16,LEN(N16)-1,1),"〇")</f>
        <v>〇ワモト シュ〇タ</v>
      </c>
      <c r="P16" t="s">
        <v>41</v>
      </c>
      <c r="Q16" s="7">
        <v>41813</v>
      </c>
      <c r="R16" s="7">
        <v>45748</v>
      </c>
      <c r="S16" t="s">
        <v>42</v>
      </c>
      <c r="T16" t="s">
        <v>75</v>
      </c>
      <c r="U16" t="s">
        <v>42</v>
      </c>
      <c r="V16" t="s">
        <v>42</v>
      </c>
      <c r="W16">
        <v>1</v>
      </c>
      <c r="X16">
        <v>4600</v>
      </c>
      <c r="Y16" t="s">
        <v>44</v>
      </c>
      <c r="Z16" t="s">
        <v>43</v>
      </c>
      <c r="AA16">
        <v>14</v>
      </c>
      <c r="AB16" s="7">
        <v>45505</v>
      </c>
      <c r="AD16" t="s">
        <v>44</v>
      </c>
      <c r="AE16" t="s">
        <v>43</v>
      </c>
      <c r="AF16">
        <v>5</v>
      </c>
      <c r="AG16" s="7">
        <v>45725</v>
      </c>
      <c r="AI16" t="s">
        <v>80</v>
      </c>
    </row>
    <row r="17" spans="1:35">
      <c r="A17" t="s">
        <v>108</v>
      </c>
      <c r="B17" t="str">
        <f t="shared" si="0"/>
        <v>〇迫〇愛</v>
      </c>
      <c r="C17" t="s">
        <v>109</v>
      </c>
      <c r="D17" t="str">
        <f t="shared" si="0"/>
        <v>〇ラサコ 〇イ</v>
      </c>
      <c r="E17" t="s">
        <v>37</v>
      </c>
      <c r="F17">
        <v>272070</v>
      </c>
      <c r="G17" t="s">
        <v>38</v>
      </c>
      <c r="H17">
        <v>8551025862</v>
      </c>
      <c r="I17" s="7">
        <v>45120</v>
      </c>
      <c r="J17" s="7">
        <v>45505</v>
      </c>
      <c r="K17" s="7">
        <v>45869</v>
      </c>
      <c r="L17" t="s">
        <v>110</v>
      </c>
      <c r="M17" t="str">
        <f t="shared" si="1"/>
        <v>〇迫〇紡</v>
      </c>
      <c r="N17" t="s">
        <v>111</v>
      </c>
      <c r="O17" t="str">
        <f t="shared" ref="O17" si="16">SUBSTITUTE(REPLACE(N17,1,1,"〇"),MID(N17,LEN(N17)-1,1),"〇")</f>
        <v>〇ラサコ ツ〇グ</v>
      </c>
      <c r="P17" t="s">
        <v>41</v>
      </c>
      <c r="Q17" s="7">
        <v>42179</v>
      </c>
      <c r="R17" s="7">
        <v>45017</v>
      </c>
      <c r="S17" t="s">
        <v>42</v>
      </c>
      <c r="T17" t="s">
        <v>42</v>
      </c>
      <c r="U17" t="s">
        <v>42</v>
      </c>
      <c r="V17" t="s">
        <v>42</v>
      </c>
      <c r="W17">
        <v>1</v>
      </c>
      <c r="X17">
        <v>4600</v>
      </c>
      <c r="Y17" t="s">
        <v>44</v>
      </c>
      <c r="Z17" t="s">
        <v>43</v>
      </c>
      <c r="AA17">
        <v>10</v>
      </c>
      <c r="AB17" s="7">
        <v>45505</v>
      </c>
      <c r="AD17" t="s">
        <v>44</v>
      </c>
      <c r="AE17" t="s">
        <v>43</v>
      </c>
      <c r="AF17">
        <v>5</v>
      </c>
      <c r="AG17" s="7">
        <v>45505</v>
      </c>
    </row>
    <row r="18" spans="1:35">
      <c r="A18" t="s">
        <v>112</v>
      </c>
      <c r="B18" t="str">
        <f t="shared" si="0"/>
        <v>〇口 〇美</v>
      </c>
      <c r="C18" t="s">
        <v>113</v>
      </c>
      <c r="D18" t="str">
        <f t="shared" si="0"/>
        <v>〇グチ ヒ〇ミ</v>
      </c>
      <c r="E18" t="s">
        <v>37</v>
      </c>
      <c r="F18">
        <v>272070</v>
      </c>
      <c r="G18" t="s">
        <v>38</v>
      </c>
      <c r="H18">
        <v>8551025623</v>
      </c>
      <c r="J18" s="7">
        <v>45505</v>
      </c>
      <c r="K18" s="7">
        <v>45869</v>
      </c>
      <c r="L18" t="s">
        <v>114</v>
      </c>
      <c r="M18" t="str">
        <f t="shared" si="1"/>
        <v>〇口 〇己</v>
      </c>
      <c r="N18" t="s">
        <v>115</v>
      </c>
      <c r="O18" t="str">
        <f t="shared" ref="O18" si="17">SUBSTITUTE(REPLACE(N18,1,1,"〇"),MID(N18,LEN(N18)-1,1),"〇")</f>
        <v>〇グチ エ〇キ</v>
      </c>
      <c r="P18" t="s">
        <v>41</v>
      </c>
      <c r="Q18" s="7">
        <v>42529</v>
      </c>
      <c r="R18" s="7">
        <v>45567</v>
      </c>
      <c r="S18" t="s">
        <v>42</v>
      </c>
      <c r="T18" t="s">
        <v>42</v>
      </c>
      <c r="U18" t="s">
        <v>42</v>
      </c>
      <c r="V18" t="s">
        <v>42</v>
      </c>
      <c r="W18">
        <v>1</v>
      </c>
      <c r="X18">
        <v>37200</v>
      </c>
      <c r="Z18" t="s">
        <v>43</v>
      </c>
      <c r="AA18">
        <v>10</v>
      </c>
      <c r="AB18" s="7">
        <v>45505</v>
      </c>
      <c r="AC18" s="7">
        <v>45869</v>
      </c>
      <c r="AD18" t="s">
        <v>44</v>
      </c>
      <c r="AE18" t="s">
        <v>43</v>
      </c>
      <c r="AF18">
        <v>4</v>
      </c>
      <c r="AG18" s="7">
        <v>45560</v>
      </c>
      <c r="AH18" s="7">
        <v>45869</v>
      </c>
    </row>
    <row r="19" spans="1:35">
      <c r="A19" t="s">
        <v>116</v>
      </c>
      <c r="B19" t="str">
        <f t="shared" si="0"/>
        <v>〇山 〇美</v>
      </c>
      <c r="C19" t="s">
        <v>117</v>
      </c>
      <c r="D19" t="str">
        <f t="shared" si="0"/>
        <v>〇ラヤマ ト〇ミ</v>
      </c>
      <c r="E19" t="s">
        <v>37</v>
      </c>
      <c r="F19">
        <v>272070</v>
      </c>
      <c r="G19" t="s">
        <v>38</v>
      </c>
      <c r="H19">
        <v>8551034005</v>
      </c>
      <c r="I19" s="7">
        <v>45138</v>
      </c>
      <c r="J19" s="7">
        <v>45505</v>
      </c>
      <c r="K19" s="7">
        <v>45869</v>
      </c>
      <c r="L19" t="s">
        <v>118</v>
      </c>
      <c r="M19" t="str">
        <f t="shared" si="1"/>
        <v>〇山 〇渡</v>
      </c>
      <c r="N19" t="s">
        <v>119</v>
      </c>
      <c r="O19" t="str">
        <f t="shared" ref="O19" si="18">SUBSTITUTE(REPLACE(N19,1,1,"〇"),MID(N19,LEN(N19)-1,1),"〇")</f>
        <v>〇ラヤマ カ〇ト</v>
      </c>
      <c r="P19" t="s">
        <v>41</v>
      </c>
      <c r="Q19" s="7">
        <v>42548</v>
      </c>
      <c r="R19" s="7">
        <v>44996</v>
      </c>
      <c r="S19" t="s">
        <v>42</v>
      </c>
      <c r="T19" t="s">
        <v>42</v>
      </c>
      <c r="U19" t="s">
        <v>42</v>
      </c>
      <c r="V19" t="s">
        <v>42</v>
      </c>
      <c r="W19">
        <v>1</v>
      </c>
      <c r="X19">
        <v>4600</v>
      </c>
      <c r="Y19" t="s">
        <v>44</v>
      </c>
      <c r="Z19" t="s">
        <v>43</v>
      </c>
      <c r="AA19">
        <v>10</v>
      </c>
      <c r="AB19" s="7">
        <v>45505</v>
      </c>
      <c r="AD19" t="s">
        <v>44</v>
      </c>
      <c r="AE19" t="s">
        <v>43</v>
      </c>
      <c r="AF19">
        <v>5</v>
      </c>
      <c r="AG19" s="7">
        <v>45505</v>
      </c>
    </row>
    <row r="20" spans="1:35">
      <c r="A20" t="s">
        <v>120</v>
      </c>
      <c r="B20" t="str">
        <f t="shared" si="0"/>
        <v>〇口 〇恵</v>
      </c>
      <c r="C20" t="s">
        <v>121</v>
      </c>
      <c r="D20" t="str">
        <f t="shared" si="0"/>
        <v>〇マクチ ヒ〇エ</v>
      </c>
      <c r="E20" t="s">
        <v>37</v>
      </c>
      <c r="F20">
        <v>272070</v>
      </c>
      <c r="G20" t="s">
        <v>38</v>
      </c>
      <c r="H20">
        <v>8551052338</v>
      </c>
      <c r="J20" s="7">
        <v>45505</v>
      </c>
      <c r="K20" s="7">
        <v>45869</v>
      </c>
      <c r="L20" t="s">
        <v>122</v>
      </c>
      <c r="M20" t="str">
        <f t="shared" si="1"/>
        <v>〇口〇岳</v>
      </c>
      <c r="N20" t="s">
        <v>123</v>
      </c>
      <c r="O20" t="str">
        <f t="shared" ref="O20" si="19">SUBSTITUTE(REPLACE(N20,1,1,"〇"),MID(N20,LEN(N20)-1,1),"〇")</f>
        <v>〇マクチ 〇ク</v>
      </c>
      <c r="P20" t="s">
        <v>41</v>
      </c>
      <c r="Q20" s="7">
        <v>42178</v>
      </c>
      <c r="R20" s="7">
        <v>45748</v>
      </c>
      <c r="S20" t="s">
        <v>42</v>
      </c>
      <c r="T20" t="s">
        <v>42</v>
      </c>
      <c r="U20" t="s">
        <v>42</v>
      </c>
      <c r="V20" t="s">
        <v>42</v>
      </c>
      <c r="W20">
        <v>1</v>
      </c>
      <c r="X20">
        <v>4600</v>
      </c>
      <c r="Y20" t="s">
        <v>44</v>
      </c>
      <c r="Z20" t="s">
        <v>43</v>
      </c>
      <c r="AA20">
        <v>10</v>
      </c>
      <c r="AB20" s="7">
        <v>45505</v>
      </c>
      <c r="AD20" t="s">
        <v>44</v>
      </c>
      <c r="AE20" t="s">
        <v>43</v>
      </c>
      <c r="AF20">
        <v>5</v>
      </c>
      <c r="AG20" s="7">
        <v>45505</v>
      </c>
    </row>
    <row r="21" spans="1:35">
      <c r="A21" t="s">
        <v>124</v>
      </c>
      <c r="B21" t="str">
        <f t="shared" si="0"/>
        <v>〇本 〇太</v>
      </c>
      <c r="C21" t="s">
        <v>125</v>
      </c>
      <c r="D21" t="str">
        <f t="shared" si="0"/>
        <v>〇ジモト ユ〇タ</v>
      </c>
      <c r="E21" t="s">
        <v>37</v>
      </c>
      <c r="F21">
        <v>272112</v>
      </c>
      <c r="G21" t="s">
        <v>126</v>
      </c>
      <c r="H21">
        <v>5000032598</v>
      </c>
      <c r="I21" s="7">
        <v>45135</v>
      </c>
      <c r="J21" s="7">
        <v>45536</v>
      </c>
      <c r="K21" s="7">
        <v>45869</v>
      </c>
      <c r="L21" t="s">
        <v>127</v>
      </c>
      <c r="M21" t="str">
        <f t="shared" si="1"/>
        <v>〇本 〇希</v>
      </c>
      <c r="N21" t="s">
        <v>128</v>
      </c>
      <c r="O21" t="str">
        <f t="shared" ref="O21" si="20">SUBSTITUTE(REPLACE(N21,1,1,"〇"),MID(N21,LEN(N21)-1,1),"〇")</f>
        <v>〇ジモト ユ〇キ</v>
      </c>
      <c r="P21" t="s">
        <v>41</v>
      </c>
      <c r="Q21" s="7">
        <v>42206</v>
      </c>
      <c r="R21" s="7">
        <v>44779</v>
      </c>
      <c r="S21" t="s">
        <v>42</v>
      </c>
      <c r="T21" t="s">
        <v>75</v>
      </c>
      <c r="U21" t="s">
        <v>42</v>
      </c>
      <c r="V21" t="s">
        <v>42</v>
      </c>
      <c r="W21">
        <v>1</v>
      </c>
      <c r="X21">
        <v>4600</v>
      </c>
      <c r="Y21" t="s">
        <v>129</v>
      </c>
      <c r="Z21" t="s">
        <v>43</v>
      </c>
      <c r="AA21">
        <v>10</v>
      </c>
      <c r="AB21" s="7">
        <v>45536</v>
      </c>
      <c r="AD21" t="s">
        <v>44</v>
      </c>
      <c r="AE21" t="s">
        <v>43</v>
      </c>
      <c r="AF21">
        <v>2</v>
      </c>
      <c r="AG21" s="7">
        <v>45536</v>
      </c>
    </row>
    <row r="22" spans="1:35">
      <c r="A22" t="s">
        <v>130</v>
      </c>
      <c r="B22" t="str">
        <f t="shared" si="0"/>
        <v>〇上 〇巳</v>
      </c>
      <c r="C22" t="s">
        <v>131</v>
      </c>
      <c r="D22" t="str">
        <f t="shared" si="0"/>
        <v>〇ノウエ タ〇ミ</v>
      </c>
      <c r="E22" t="s">
        <v>37</v>
      </c>
      <c r="F22">
        <v>272070</v>
      </c>
      <c r="G22" t="s">
        <v>38</v>
      </c>
      <c r="H22">
        <v>8551033858</v>
      </c>
      <c r="J22" s="7">
        <v>45536</v>
      </c>
      <c r="K22" s="7">
        <v>45900</v>
      </c>
      <c r="L22" t="s">
        <v>132</v>
      </c>
      <c r="M22" t="str">
        <f t="shared" si="1"/>
        <v>〇上 〇介</v>
      </c>
      <c r="N22" t="s">
        <v>133</v>
      </c>
      <c r="O22" t="str">
        <f t="shared" ref="O22" si="21">SUBSTITUTE(REPLACE(N22,1,1,"〇"),MID(N22,LEN(N22)-1,1),"〇")</f>
        <v>〇ノウエ ソウ〇ケ</v>
      </c>
      <c r="P22" t="s">
        <v>41</v>
      </c>
      <c r="Q22" s="7">
        <v>40738</v>
      </c>
      <c r="R22" s="7">
        <v>45748</v>
      </c>
      <c r="S22" t="s">
        <v>42</v>
      </c>
      <c r="T22" t="s">
        <v>42</v>
      </c>
      <c r="U22" t="s">
        <v>42</v>
      </c>
      <c r="V22" t="s">
        <v>42</v>
      </c>
      <c r="W22">
        <v>1</v>
      </c>
      <c r="X22">
        <v>4600</v>
      </c>
      <c r="Z22" t="s">
        <v>43</v>
      </c>
      <c r="AA22">
        <v>10</v>
      </c>
      <c r="AB22" s="7">
        <v>45536</v>
      </c>
      <c r="AD22" t="s">
        <v>44</v>
      </c>
      <c r="AE22" t="s">
        <v>43</v>
      </c>
      <c r="AF22">
        <v>5</v>
      </c>
      <c r="AG22" s="7">
        <v>45725</v>
      </c>
    </row>
    <row r="23" spans="1:35">
      <c r="A23" t="s">
        <v>134</v>
      </c>
      <c r="B23" t="str">
        <f t="shared" si="0"/>
        <v>〇内 〇香</v>
      </c>
      <c r="C23" t="s">
        <v>135</v>
      </c>
      <c r="D23" t="str">
        <f t="shared" si="0"/>
        <v>〇オウチ 〇カ</v>
      </c>
      <c r="E23" t="s">
        <v>37</v>
      </c>
      <c r="F23">
        <v>272070</v>
      </c>
      <c r="G23" t="s">
        <v>38</v>
      </c>
      <c r="H23">
        <v>8551028445</v>
      </c>
      <c r="J23" s="7">
        <v>45536</v>
      </c>
      <c r="K23" s="7">
        <v>45900</v>
      </c>
      <c r="L23" t="s">
        <v>136</v>
      </c>
      <c r="M23" t="str">
        <f t="shared" si="1"/>
        <v>〇内 〇登</v>
      </c>
      <c r="N23" t="s">
        <v>137</v>
      </c>
      <c r="O23" t="str">
        <f t="shared" ref="O23" si="22">SUBSTITUTE(REPLACE(N23,1,1,"〇"),MID(N23,LEN(N23)-1,1),"〇")</f>
        <v>〇オウチ ヒ〇ト</v>
      </c>
      <c r="P23" t="s">
        <v>41</v>
      </c>
      <c r="Q23" s="7">
        <v>42201</v>
      </c>
      <c r="R23" s="7">
        <v>45748</v>
      </c>
      <c r="S23" t="s">
        <v>42</v>
      </c>
      <c r="T23" t="s">
        <v>42</v>
      </c>
      <c r="U23" t="s">
        <v>42</v>
      </c>
      <c r="V23" t="s">
        <v>42</v>
      </c>
      <c r="W23">
        <v>1</v>
      </c>
      <c r="X23">
        <v>37200</v>
      </c>
      <c r="Z23" t="s">
        <v>43</v>
      </c>
      <c r="AA23">
        <v>10</v>
      </c>
      <c r="AB23" s="7">
        <v>45536</v>
      </c>
      <c r="AC23" s="7">
        <v>45900</v>
      </c>
      <c r="AD23" t="s">
        <v>44</v>
      </c>
      <c r="AE23" t="s">
        <v>43</v>
      </c>
      <c r="AF23">
        <v>5</v>
      </c>
      <c r="AG23" s="7">
        <v>45536</v>
      </c>
      <c r="AH23" s="7">
        <v>45900</v>
      </c>
    </row>
    <row r="24" spans="1:35">
      <c r="A24" t="s">
        <v>138</v>
      </c>
      <c r="B24" t="str">
        <f t="shared" si="0"/>
        <v>〇田 亜〇沙</v>
      </c>
      <c r="C24" t="s">
        <v>139</v>
      </c>
      <c r="D24" t="str">
        <f t="shared" si="0"/>
        <v>〇キタ ア〇サ</v>
      </c>
      <c r="E24" t="s">
        <v>37</v>
      </c>
      <c r="F24">
        <v>272070</v>
      </c>
      <c r="G24" t="s">
        <v>38</v>
      </c>
      <c r="H24">
        <v>8551004636</v>
      </c>
      <c r="I24" s="7">
        <v>45156</v>
      </c>
      <c r="J24" s="7">
        <v>45536</v>
      </c>
      <c r="K24" s="7">
        <v>45900</v>
      </c>
      <c r="L24" t="s">
        <v>140</v>
      </c>
      <c r="M24" t="str">
        <f t="shared" si="1"/>
        <v>〇田 〇真</v>
      </c>
      <c r="N24" t="s">
        <v>141</v>
      </c>
      <c r="O24" t="str">
        <f t="shared" ref="O24" si="23">SUBSTITUTE(REPLACE(N24,1,1,"〇"),MID(N24,LEN(N24)-1,1),"〇")</f>
        <v>〇キタ ソ〇マ</v>
      </c>
      <c r="P24" t="s">
        <v>41</v>
      </c>
      <c r="Q24" s="7">
        <v>39652</v>
      </c>
      <c r="R24" s="7">
        <v>45170</v>
      </c>
      <c r="S24" t="s">
        <v>42</v>
      </c>
      <c r="T24" t="s">
        <v>75</v>
      </c>
      <c r="U24" t="s">
        <v>42</v>
      </c>
      <c r="V24" t="s">
        <v>42</v>
      </c>
      <c r="W24">
        <v>1</v>
      </c>
      <c r="X24">
        <v>4600</v>
      </c>
      <c r="Y24" t="s">
        <v>44</v>
      </c>
      <c r="Z24" t="s">
        <v>43</v>
      </c>
      <c r="AA24">
        <v>23</v>
      </c>
      <c r="AB24" s="7">
        <v>45536</v>
      </c>
      <c r="AD24" t="s">
        <v>44</v>
      </c>
      <c r="AE24" t="s">
        <v>43</v>
      </c>
      <c r="AF24">
        <v>5</v>
      </c>
      <c r="AG24" s="7">
        <v>45536</v>
      </c>
      <c r="AI24" t="s">
        <v>142</v>
      </c>
    </row>
    <row r="25" spans="1:35">
      <c r="A25" t="s">
        <v>143</v>
      </c>
      <c r="B25" t="str">
        <f t="shared" si="0"/>
        <v>〇農 真〇子</v>
      </c>
      <c r="C25" t="s">
        <v>144</v>
      </c>
      <c r="D25" t="str">
        <f t="shared" si="0"/>
        <v>〇ンノ マ〇コ</v>
      </c>
      <c r="E25" t="s">
        <v>37</v>
      </c>
      <c r="F25">
        <v>272070</v>
      </c>
      <c r="G25" t="s">
        <v>38</v>
      </c>
      <c r="H25">
        <v>8551062253</v>
      </c>
      <c r="J25" s="7">
        <v>45536</v>
      </c>
      <c r="K25" s="7">
        <v>45900</v>
      </c>
      <c r="L25" t="s">
        <v>145</v>
      </c>
      <c r="M25" t="str">
        <f t="shared" si="1"/>
        <v>〇農 〇芽</v>
      </c>
      <c r="N25" t="s">
        <v>146</v>
      </c>
      <c r="O25" t="str">
        <f t="shared" ref="O25" si="24">SUBSTITUTE(REPLACE(N25,1,1,"〇"),MID(N25,LEN(N25)-1,1),"〇")</f>
        <v>〇ンノ カ〇メ</v>
      </c>
      <c r="P25" t="s">
        <v>41</v>
      </c>
      <c r="Q25" s="7">
        <v>42208</v>
      </c>
      <c r="R25" s="7">
        <v>45748</v>
      </c>
      <c r="S25" t="s">
        <v>42</v>
      </c>
      <c r="T25" t="s">
        <v>75</v>
      </c>
      <c r="U25" t="s">
        <v>42</v>
      </c>
      <c r="V25" t="s">
        <v>42</v>
      </c>
      <c r="W25">
        <v>1</v>
      </c>
      <c r="X25">
        <v>4600</v>
      </c>
      <c r="Z25" t="s">
        <v>43</v>
      </c>
      <c r="AA25">
        <v>14</v>
      </c>
      <c r="AB25" s="7">
        <v>45536</v>
      </c>
      <c r="AD25" t="s">
        <v>44</v>
      </c>
      <c r="AE25" t="s">
        <v>43</v>
      </c>
      <c r="AF25">
        <v>5</v>
      </c>
      <c r="AG25" s="7">
        <v>45725</v>
      </c>
    </row>
    <row r="26" spans="1:35">
      <c r="A26" t="s">
        <v>147</v>
      </c>
      <c r="B26" t="str">
        <f t="shared" si="0"/>
        <v>〇野 美〇子</v>
      </c>
      <c r="C26" t="s">
        <v>148</v>
      </c>
      <c r="D26" t="str">
        <f t="shared" si="0"/>
        <v>〇ウノ ミ〇コ</v>
      </c>
      <c r="E26" t="s">
        <v>37</v>
      </c>
      <c r="F26">
        <v>272070</v>
      </c>
      <c r="G26" t="s">
        <v>38</v>
      </c>
      <c r="H26">
        <v>8551066601</v>
      </c>
      <c r="I26" s="7">
        <v>45478</v>
      </c>
      <c r="J26" s="7">
        <v>45536</v>
      </c>
      <c r="K26" s="7">
        <v>45900</v>
      </c>
      <c r="L26" t="s">
        <v>149</v>
      </c>
      <c r="M26" t="str">
        <f t="shared" si="1"/>
        <v>〇野 〇悟</v>
      </c>
      <c r="N26" t="s">
        <v>150</v>
      </c>
      <c r="O26" t="str">
        <f t="shared" ref="O26" si="25">SUBSTITUTE(REPLACE(N26,1,1,"〇"),MID(N26,LEN(N26)-1,1),"〇")</f>
        <v>〇ウノ ケ〇ゴ</v>
      </c>
      <c r="P26" t="s">
        <v>41</v>
      </c>
      <c r="Q26" s="7">
        <v>42216</v>
      </c>
      <c r="R26" s="7">
        <v>45489</v>
      </c>
      <c r="S26" t="s">
        <v>42</v>
      </c>
      <c r="T26" t="s">
        <v>42</v>
      </c>
      <c r="U26" t="s">
        <v>42</v>
      </c>
      <c r="V26" t="s">
        <v>42</v>
      </c>
      <c r="W26">
        <v>1</v>
      </c>
      <c r="X26">
        <v>37200</v>
      </c>
      <c r="Z26" t="s">
        <v>43</v>
      </c>
      <c r="AA26">
        <v>10</v>
      </c>
      <c r="AB26" s="7">
        <v>45536</v>
      </c>
      <c r="AD26" t="s">
        <v>44</v>
      </c>
      <c r="AE26" t="s">
        <v>43</v>
      </c>
      <c r="AF26">
        <v>5</v>
      </c>
      <c r="AG26" s="7">
        <v>45536</v>
      </c>
    </row>
    <row r="27" spans="1:35">
      <c r="A27" t="s">
        <v>151</v>
      </c>
      <c r="B27" t="str">
        <f t="shared" si="0"/>
        <v>〇﨑〇賜</v>
      </c>
      <c r="C27" t="s">
        <v>152</v>
      </c>
      <c r="D27" t="str">
        <f t="shared" si="0"/>
        <v>〇ザキ メ〇ム</v>
      </c>
      <c r="E27" t="s">
        <v>37</v>
      </c>
      <c r="F27">
        <v>272070</v>
      </c>
      <c r="G27" t="s">
        <v>38</v>
      </c>
      <c r="H27">
        <v>8551059853</v>
      </c>
      <c r="I27" s="7">
        <v>45383</v>
      </c>
      <c r="J27" s="7">
        <v>45536</v>
      </c>
      <c r="K27" s="7">
        <v>45900</v>
      </c>
      <c r="L27" t="s">
        <v>153</v>
      </c>
      <c r="M27" t="str">
        <f t="shared" si="1"/>
        <v>〇﨑〇瑞</v>
      </c>
      <c r="N27" t="s">
        <v>154</v>
      </c>
      <c r="O27" t="str">
        <f t="shared" ref="O27" si="26">SUBSTITUTE(REPLACE(N27,1,1,"〇"),MID(N27,LEN(N27)-1,1),"〇")</f>
        <v>〇ザキ 〇イ</v>
      </c>
      <c r="P27" t="s">
        <v>41</v>
      </c>
      <c r="Q27" s="7">
        <v>42945</v>
      </c>
      <c r="R27" s="7">
        <v>45383</v>
      </c>
      <c r="S27" t="s">
        <v>42</v>
      </c>
      <c r="T27" t="s">
        <v>42</v>
      </c>
      <c r="U27" t="s">
        <v>42</v>
      </c>
      <c r="V27" t="s">
        <v>42</v>
      </c>
      <c r="W27">
        <v>1</v>
      </c>
      <c r="X27">
        <v>4600</v>
      </c>
      <c r="Y27" t="s">
        <v>44</v>
      </c>
      <c r="Z27" t="s">
        <v>43</v>
      </c>
      <c r="AA27">
        <v>10</v>
      </c>
      <c r="AB27" s="7">
        <v>45536</v>
      </c>
      <c r="AD27" t="s">
        <v>44</v>
      </c>
      <c r="AE27" t="s">
        <v>43</v>
      </c>
      <c r="AF27">
        <v>5</v>
      </c>
      <c r="AG27" s="7">
        <v>45536</v>
      </c>
    </row>
    <row r="28" spans="1:35">
      <c r="A28" t="s">
        <v>155</v>
      </c>
      <c r="B28" t="str">
        <f t="shared" si="0"/>
        <v>〇本 〇子</v>
      </c>
      <c r="C28" t="s">
        <v>156</v>
      </c>
      <c r="D28" t="str">
        <f t="shared" si="0"/>
        <v>〇リモト キョ〇コ</v>
      </c>
      <c r="E28" t="s">
        <v>37</v>
      </c>
      <c r="F28">
        <v>272070</v>
      </c>
      <c r="G28" t="s">
        <v>38</v>
      </c>
      <c r="H28">
        <v>8551028254</v>
      </c>
      <c r="J28" s="7">
        <v>45536</v>
      </c>
      <c r="K28" s="7">
        <v>45900</v>
      </c>
      <c r="L28" t="s">
        <v>157</v>
      </c>
      <c r="M28" t="str">
        <f t="shared" si="1"/>
        <v>〇本 〇翔</v>
      </c>
      <c r="N28" t="s">
        <v>158</v>
      </c>
      <c r="O28" t="str">
        <f t="shared" ref="O28" si="27">SUBSTITUTE(REPLACE(N28,1,1,"〇"),MID(N28,LEN(N28)-1,1),"〇")</f>
        <v>〇リモト ヨ〇ト</v>
      </c>
      <c r="P28" t="s">
        <v>41</v>
      </c>
      <c r="Q28" s="7">
        <v>41837</v>
      </c>
      <c r="R28" s="7">
        <v>45748</v>
      </c>
      <c r="S28" t="s">
        <v>42</v>
      </c>
      <c r="T28" t="s">
        <v>42</v>
      </c>
      <c r="U28" t="s">
        <v>42</v>
      </c>
      <c r="V28" t="s">
        <v>42</v>
      </c>
      <c r="W28">
        <v>1</v>
      </c>
      <c r="X28">
        <v>4600</v>
      </c>
      <c r="Y28" t="s">
        <v>44</v>
      </c>
      <c r="Z28" t="s">
        <v>43</v>
      </c>
      <c r="AA28">
        <v>10</v>
      </c>
      <c r="AB28" s="7">
        <v>45536</v>
      </c>
      <c r="AD28" t="s">
        <v>44</v>
      </c>
      <c r="AE28" t="s">
        <v>43</v>
      </c>
      <c r="AF28">
        <v>5</v>
      </c>
      <c r="AG28" s="7">
        <v>45725</v>
      </c>
    </row>
    <row r="29" spans="1:35">
      <c r="A29" t="s">
        <v>159</v>
      </c>
      <c r="B29" t="str">
        <f t="shared" si="0"/>
        <v>〇邉 智〇子</v>
      </c>
      <c r="C29" t="s">
        <v>160</v>
      </c>
      <c r="D29" t="str">
        <f t="shared" si="0"/>
        <v>〇タナベ チ〇コ</v>
      </c>
      <c r="E29" t="s">
        <v>37</v>
      </c>
      <c r="F29">
        <v>272070</v>
      </c>
      <c r="G29" t="s">
        <v>38</v>
      </c>
      <c r="H29">
        <v>8551013009</v>
      </c>
      <c r="J29" s="7">
        <v>45536</v>
      </c>
      <c r="K29" s="7">
        <v>45900</v>
      </c>
      <c r="L29" t="s">
        <v>161</v>
      </c>
      <c r="M29" t="str">
        <f t="shared" si="1"/>
        <v>〇邉〇尊</v>
      </c>
      <c r="N29" t="s">
        <v>162</v>
      </c>
      <c r="O29" t="str">
        <f t="shared" ref="O29" si="28">SUBSTITUTE(REPLACE(N29,1,1,"〇"),MID(N29,LEN(N29)-1,1),"〇")</f>
        <v>〇タナベ タ〇ル</v>
      </c>
      <c r="P29" t="s">
        <v>41</v>
      </c>
      <c r="Q29" s="7">
        <v>41458</v>
      </c>
      <c r="R29" s="7">
        <v>43936</v>
      </c>
      <c r="S29" t="s">
        <v>42</v>
      </c>
      <c r="T29" t="s">
        <v>42</v>
      </c>
      <c r="U29" t="s">
        <v>42</v>
      </c>
      <c r="V29" t="s">
        <v>42</v>
      </c>
      <c r="W29">
        <v>1</v>
      </c>
      <c r="X29">
        <v>4600</v>
      </c>
      <c r="Y29" t="s">
        <v>44</v>
      </c>
      <c r="Z29" t="s">
        <v>43</v>
      </c>
      <c r="AA29">
        <v>14</v>
      </c>
      <c r="AB29" s="7">
        <v>45536</v>
      </c>
      <c r="AD29" t="s">
        <v>44</v>
      </c>
      <c r="AE29" t="s">
        <v>43</v>
      </c>
      <c r="AF29">
        <v>4</v>
      </c>
      <c r="AG29" s="7">
        <v>45536</v>
      </c>
      <c r="AI29" t="s">
        <v>103</v>
      </c>
    </row>
    <row r="30" spans="1:35">
      <c r="A30" t="s">
        <v>163</v>
      </c>
      <c r="B30" t="str">
        <f t="shared" si="0"/>
        <v>〇野 〇信</v>
      </c>
      <c r="C30" t="s">
        <v>164</v>
      </c>
      <c r="D30" t="str">
        <f t="shared" si="0"/>
        <v>〇ラ〇 ヒロ〇ブ</v>
      </c>
      <c r="E30" t="s">
        <v>37</v>
      </c>
      <c r="F30">
        <v>272070</v>
      </c>
      <c r="G30" t="s">
        <v>38</v>
      </c>
      <c r="H30">
        <v>8551002879</v>
      </c>
      <c r="I30" s="7">
        <v>45555</v>
      </c>
      <c r="J30" s="7">
        <v>45566</v>
      </c>
      <c r="K30" s="7">
        <v>45747</v>
      </c>
      <c r="L30" t="s">
        <v>165</v>
      </c>
      <c r="M30" t="str">
        <f t="shared" si="1"/>
        <v>〇野 〇紀</v>
      </c>
      <c r="N30" t="s">
        <v>166</v>
      </c>
      <c r="O30" t="str">
        <f t="shared" ref="O30" si="29">SUBSTITUTE(REPLACE(N30,1,1,"〇"),MID(N30,LEN(N30)-1,1),"〇")</f>
        <v>〇ラノ ト〇キ</v>
      </c>
      <c r="P30" t="s">
        <v>41</v>
      </c>
      <c r="Q30" s="7">
        <v>38941</v>
      </c>
      <c r="R30" s="7">
        <v>44007</v>
      </c>
      <c r="S30" t="s">
        <v>42</v>
      </c>
      <c r="T30" t="s">
        <v>42</v>
      </c>
      <c r="U30" t="s">
        <v>42</v>
      </c>
      <c r="V30" t="s">
        <v>42</v>
      </c>
      <c r="W30">
        <v>1</v>
      </c>
      <c r="X30">
        <v>4600</v>
      </c>
      <c r="Z30" t="s">
        <v>43</v>
      </c>
      <c r="AA30">
        <v>10</v>
      </c>
      <c r="AB30" s="7">
        <v>45566</v>
      </c>
      <c r="AD30" t="s">
        <v>44</v>
      </c>
      <c r="AE30" t="s">
        <v>43</v>
      </c>
      <c r="AF30">
        <v>5</v>
      </c>
      <c r="AG30" s="7">
        <v>45566</v>
      </c>
    </row>
    <row r="31" spans="1:35">
      <c r="A31" t="s">
        <v>167</v>
      </c>
      <c r="B31" t="str">
        <f t="shared" si="0"/>
        <v>〇山 〇子</v>
      </c>
      <c r="C31" t="s">
        <v>168</v>
      </c>
      <c r="D31" t="str">
        <f t="shared" si="0"/>
        <v>〇キヤマ フ〇コ</v>
      </c>
      <c r="E31" t="s">
        <v>37</v>
      </c>
      <c r="F31">
        <v>272070</v>
      </c>
      <c r="G31" t="s">
        <v>38</v>
      </c>
      <c r="H31">
        <v>8551013686</v>
      </c>
      <c r="I31" s="7">
        <v>45560</v>
      </c>
      <c r="J31" s="7">
        <v>45566</v>
      </c>
      <c r="K31" s="7">
        <v>45930</v>
      </c>
      <c r="L31" t="s">
        <v>169</v>
      </c>
      <c r="M31" t="str">
        <f t="shared" si="1"/>
        <v>〇山 〇翔</v>
      </c>
      <c r="N31" t="s">
        <v>170</v>
      </c>
      <c r="O31" t="str">
        <f t="shared" ref="O31" si="30">SUBSTITUTE(REPLACE(N31,1,1,"〇"),MID(N31,LEN(N31)-1,1),"〇")</f>
        <v>〇キヤマ カ〇ト</v>
      </c>
      <c r="P31" t="s">
        <v>41</v>
      </c>
      <c r="Q31" s="7">
        <v>41490</v>
      </c>
      <c r="R31" s="7">
        <v>44323</v>
      </c>
      <c r="S31" t="s">
        <v>42</v>
      </c>
      <c r="T31" t="s">
        <v>42</v>
      </c>
      <c r="U31" t="s">
        <v>42</v>
      </c>
      <c r="V31" t="s">
        <v>42</v>
      </c>
      <c r="W31">
        <v>1</v>
      </c>
      <c r="X31">
        <v>37200</v>
      </c>
      <c r="Z31" t="s">
        <v>43</v>
      </c>
      <c r="AA31">
        <v>18</v>
      </c>
      <c r="AB31" s="7">
        <v>45566</v>
      </c>
      <c r="AD31" t="s">
        <v>44</v>
      </c>
      <c r="AE31" t="s">
        <v>43</v>
      </c>
      <c r="AF31">
        <v>1</v>
      </c>
      <c r="AG31" s="7">
        <v>45566</v>
      </c>
      <c r="AI31" t="s">
        <v>171</v>
      </c>
    </row>
    <row r="32" spans="1:35">
      <c r="A32" t="s">
        <v>172</v>
      </c>
      <c r="B32" t="str">
        <f t="shared" si="0"/>
        <v>〇田〇薫</v>
      </c>
      <c r="C32" t="s">
        <v>173</v>
      </c>
      <c r="D32" t="str">
        <f t="shared" si="0"/>
        <v>〇ツタ カ〇ル</v>
      </c>
      <c r="E32" t="s">
        <v>37</v>
      </c>
      <c r="F32">
        <v>272070</v>
      </c>
      <c r="G32" t="s">
        <v>38</v>
      </c>
      <c r="H32">
        <v>8551008561</v>
      </c>
      <c r="I32" s="7">
        <v>45546</v>
      </c>
      <c r="J32" s="7">
        <v>45566</v>
      </c>
      <c r="K32" s="7">
        <v>45930</v>
      </c>
      <c r="L32" t="s">
        <v>174</v>
      </c>
      <c r="M32" t="str">
        <f t="shared" si="1"/>
        <v>〇田 〇音</v>
      </c>
      <c r="N32" t="s">
        <v>175</v>
      </c>
      <c r="O32" t="str">
        <f t="shared" ref="O32" si="31">SUBSTITUTE(REPLACE(N32,1,1,"〇"),MID(N32,LEN(N32)-1,1),"〇")</f>
        <v>〇ツタ ハ〇ト</v>
      </c>
      <c r="P32" t="s">
        <v>41</v>
      </c>
      <c r="Q32" s="7">
        <v>40407</v>
      </c>
      <c r="R32" s="7">
        <v>45200</v>
      </c>
      <c r="S32" t="s">
        <v>42</v>
      </c>
      <c r="T32" t="s">
        <v>42</v>
      </c>
      <c r="U32" t="s">
        <v>42</v>
      </c>
      <c r="V32" t="s">
        <v>42</v>
      </c>
      <c r="W32">
        <v>1</v>
      </c>
      <c r="X32">
        <v>0</v>
      </c>
      <c r="Z32" t="s">
        <v>43</v>
      </c>
      <c r="AA32">
        <v>14</v>
      </c>
      <c r="AB32" s="7">
        <v>45566</v>
      </c>
      <c r="AD32" t="s">
        <v>44</v>
      </c>
      <c r="AE32" t="s">
        <v>43</v>
      </c>
      <c r="AF32">
        <v>14</v>
      </c>
      <c r="AG32" s="7">
        <v>45566</v>
      </c>
    </row>
    <row r="33" spans="1:35">
      <c r="A33" t="s">
        <v>176</v>
      </c>
      <c r="B33" t="str">
        <f t="shared" si="0"/>
        <v>〇野 〇絵</v>
      </c>
      <c r="C33" t="s">
        <v>177</v>
      </c>
      <c r="D33" t="str">
        <f t="shared" si="0"/>
        <v>〇ミノ イ〇エ</v>
      </c>
      <c r="E33" t="s">
        <v>37</v>
      </c>
      <c r="F33">
        <v>272070</v>
      </c>
      <c r="G33" t="s">
        <v>38</v>
      </c>
      <c r="H33">
        <v>8551013389</v>
      </c>
      <c r="J33" s="7">
        <v>45566</v>
      </c>
      <c r="K33" s="7">
        <v>45930</v>
      </c>
      <c r="L33" t="s">
        <v>178</v>
      </c>
      <c r="M33" t="str">
        <f t="shared" si="1"/>
        <v>〇野〇晴</v>
      </c>
      <c r="N33" t="s">
        <v>179</v>
      </c>
      <c r="O33" t="str">
        <f t="shared" ref="O33" si="32">SUBSTITUTE(REPLACE(N33,1,1,"〇"),MID(N33,LEN(N33)-1,1),"〇")</f>
        <v>〇ミノ 〇ル</v>
      </c>
      <c r="P33" t="s">
        <v>41</v>
      </c>
      <c r="Q33" s="7">
        <v>41135</v>
      </c>
      <c r="R33" s="7">
        <v>45748</v>
      </c>
      <c r="S33" t="s">
        <v>42</v>
      </c>
      <c r="T33" t="s">
        <v>42</v>
      </c>
      <c r="U33" t="s">
        <v>42</v>
      </c>
      <c r="V33" t="s">
        <v>42</v>
      </c>
      <c r="W33">
        <v>1</v>
      </c>
      <c r="X33">
        <v>4600</v>
      </c>
      <c r="Z33" t="s">
        <v>43</v>
      </c>
      <c r="AA33">
        <v>10</v>
      </c>
      <c r="AB33" s="7">
        <v>45566</v>
      </c>
      <c r="AD33" t="s">
        <v>44</v>
      </c>
      <c r="AE33" t="s">
        <v>43</v>
      </c>
      <c r="AF33">
        <v>5</v>
      </c>
      <c r="AG33" s="7">
        <v>45725</v>
      </c>
      <c r="AI33" t="s">
        <v>50</v>
      </c>
    </row>
    <row r="34" spans="1:35">
      <c r="A34" t="s">
        <v>180</v>
      </c>
      <c r="B34" t="str">
        <f t="shared" si="0"/>
        <v>〇里 〇子</v>
      </c>
      <c r="C34" t="s">
        <v>181</v>
      </c>
      <c r="D34" t="str">
        <f t="shared" si="0"/>
        <v>〇エサト ナ〇コ</v>
      </c>
      <c r="E34" t="s">
        <v>37</v>
      </c>
      <c r="F34">
        <v>272070</v>
      </c>
      <c r="G34" t="s">
        <v>38</v>
      </c>
      <c r="H34">
        <v>8551020749</v>
      </c>
      <c r="J34" s="7">
        <v>45566</v>
      </c>
      <c r="K34" s="7">
        <v>45930</v>
      </c>
      <c r="L34" t="s">
        <v>182</v>
      </c>
      <c r="M34" t="str">
        <f t="shared" si="1"/>
        <v>〇里 〇史</v>
      </c>
      <c r="N34" t="s">
        <v>183</v>
      </c>
      <c r="O34" t="str">
        <f t="shared" ref="O34" si="33">SUBSTITUTE(REPLACE(N34,1,1,"〇"),MID(N34,LEN(N34)-1,1),"〇")</f>
        <v>〇エサト ヨシ〇ミ</v>
      </c>
      <c r="P34" t="s">
        <v>41</v>
      </c>
      <c r="Q34" s="7">
        <v>41874</v>
      </c>
      <c r="R34" s="7">
        <v>45748</v>
      </c>
      <c r="S34" t="s">
        <v>42</v>
      </c>
      <c r="T34" t="s">
        <v>42</v>
      </c>
      <c r="U34" t="s">
        <v>42</v>
      </c>
      <c r="V34" t="s">
        <v>42</v>
      </c>
      <c r="W34">
        <v>1</v>
      </c>
      <c r="X34">
        <v>4600</v>
      </c>
      <c r="Z34" t="s">
        <v>43</v>
      </c>
      <c r="AA34">
        <v>10</v>
      </c>
      <c r="AB34" s="7">
        <v>45566</v>
      </c>
      <c r="AD34" t="s">
        <v>44</v>
      </c>
      <c r="AE34" t="s">
        <v>43</v>
      </c>
      <c r="AF34">
        <v>5</v>
      </c>
      <c r="AG34" s="7">
        <v>45725</v>
      </c>
      <c r="AI34" t="s">
        <v>80</v>
      </c>
    </row>
    <row r="35" spans="1:35">
      <c r="A35" t="s">
        <v>63</v>
      </c>
      <c r="B35" t="str">
        <f t="shared" si="0"/>
        <v>〇藤 亜〇子</v>
      </c>
      <c r="C35" t="s">
        <v>64</v>
      </c>
      <c r="D35" t="str">
        <f t="shared" si="0"/>
        <v>〇トウ ア〇コ</v>
      </c>
      <c r="E35" t="s">
        <v>37</v>
      </c>
      <c r="F35">
        <v>272070</v>
      </c>
      <c r="G35" t="s">
        <v>38</v>
      </c>
      <c r="H35">
        <v>8551052379</v>
      </c>
      <c r="J35" s="7">
        <v>45566</v>
      </c>
      <c r="K35" s="7">
        <v>45930</v>
      </c>
      <c r="L35" t="s">
        <v>184</v>
      </c>
      <c r="M35" t="str">
        <f t="shared" si="1"/>
        <v>〇藤 〇人</v>
      </c>
      <c r="N35" t="s">
        <v>185</v>
      </c>
      <c r="O35" t="str">
        <f t="shared" ref="O35" si="34">SUBSTITUTE(REPLACE(N35,1,1,"〇"),MID(N35,LEN(N35)-1,1),"〇")</f>
        <v>〇ト〇 ユ〇ト</v>
      </c>
      <c r="P35" t="s">
        <v>41</v>
      </c>
      <c r="Q35" s="7">
        <v>41127</v>
      </c>
      <c r="R35" s="7">
        <v>45748</v>
      </c>
      <c r="S35" t="s">
        <v>42</v>
      </c>
      <c r="T35" t="s">
        <v>42</v>
      </c>
      <c r="U35" t="s">
        <v>42</v>
      </c>
      <c r="V35" t="s">
        <v>42</v>
      </c>
      <c r="W35">
        <v>1</v>
      </c>
      <c r="X35">
        <v>4600</v>
      </c>
      <c r="Y35" t="s">
        <v>44</v>
      </c>
      <c r="Z35" t="s">
        <v>43</v>
      </c>
      <c r="AA35">
        <v>10</v>
      </c>
      <c r="AB35" s="7">
        <v>45566</v>
      </c>
      <c r="AD35" t="s">
        <v>44</v>
      </c>
      <c r="AE35" t="s">
        <v>43</v>
      </c>
      <c r="AF35">
        <v>5</v>
      </c>
      <c r="AG35" s="7">
        <v>45725</v>
      </c>
    </row>
    <row r="36" spans="1:35">
      <c r="A36" t="s">
        <v>186</v>
      </c>
      <c r="B36" t="str">
        <f t="shared" si="0"/>
        <v>〇柳〇綾</v>
      </c>
      <c r="C36" t="s">
        <v>187</v>
      </c>
      <c r="D36" t="str">
        <f t="shared" si="0"/>
        <v>〇カヤナギ 〇ヤ</v>
      </c>
      <c r="E36" t="s">
        <v>37</v>
      </c>
      <c r="F36">
        <v>272070</v>
      </c>
      <c r="G36" t="s">
        <v>38</v>
      </c>
      <c r="H36">
        <v>8551005401</v>
      </c>
      <c r="I36" s="7">
        <v>45194</v>
      </c>
      <c r="J36" s="7">
        <v>45566</v>
      </c>
      <c r="K36" s="7">
        <v>45930</v>
      </c>
      <c r="L36" t="s">
        <v>188</v>
      </c>
      <c r="M36" t="str">
        <f t="shared" si="1"/>
        <v>〇柳 〇輝</v>
      </c>
      <c r="N36" t="s">
        <v>189</v>
      </c>
      <c r="O36" t="str">
        <f t="shared" ref="O36" si="35">SUBSTITUTE(REPLACE(N36,1,1,"〇"),MID(N36,LEN(N36)-1,1),"〇")</f>
        <v>〇カヤナギ イ〇キ</v>
      </c>
      <c r="P36" t="s">
        <v>41</v>
      </c>
      <c r="Q36" s="7">
        <v>40397</v>
      </c>
      <c r="R36" s="7">
        <v>44310</v>
      </c>
      <c r="S36" t="s">
        <v>42</v>
      </c>
      <c r="T36" t="s">
        <v>75</v>
      </c>
      <c r="U36" t="s">
        <v>42</v>
      </c>
      <c r="V36" t="s">
        <v>42</v>
      </c>
      <c r="W36">
        <v>1</v>
      </c>
      <c r="X36">
        <v>4600</v>
      </c>
      <c r="Z36" t="s">
        <v>43</v>
      </c>
      <c r="AA36">
        <v>14</v>
      </c>
      <c r="AB36" s="7">
        <v>45566</v>
      </c>
      <c r="AD36" t="s">
        <v>44</v>
      </c>
      <c r="AE36" t="s">
        <v>43</v>
      </c>
      <c r="AF36">
        <v>4</v>
      </c>
      <c r="AG36" s="7">
        <v>45566</v>
      </c>
      <c r="AI36" t="s">
        <v>85</v>
      </c>
    </row>
    <row r="37" spans="1:35">
      <c r="A37" t="s">
        <v>190</v>
      </c>
      <c r="B37" t="str">
        <f t="shared" si="0"/>
        <v>〇原 〇子</v>
      </c>
      <c r="C37" t="s">
        <v>191</v>
      </c>
      <c r="D37" t="str">
        <f t="shared" si="0"/>
        <v>〇カハラ エ〇コ</v>
      </c>
      <c r="E37" t="s">
        <v>37</v>
      </c>
      <c r="F37">
        <v>272070</v>
      </c>
      <c r="G37" t="s">
        <v>38</v>
      </c>
      <c r="H37">
        <v>8551019758</v>
      </c>
      <c r="J37" s="7">
        <v>45566</v>
      </c>
      <c r="K37" s="7">
        <v>45930</v>
      </c>
      <c r="L37" t="s">
        <v>192</v>
      </c>
      <c r="M37" t="str">
        <f t="shared" si="1"/>
        <v>〇原 蒼〇朗</v>
      </c>
      <c r="N37" t="s">
        <v>193</v>
      </c>
      <c r="O37" t="str">
        <f t="shared" ref="O37" si="36">SUBSTITUTE(REPLACE(N37,1,1,"〇"),MID(N37,LEN(N37)-1,1),"〇")</f>
        <v>〇カハラ ソウジュウ〇ウ</v>
      </c>
      <c r="P37" t="s">
        <v>41</v>
      </c>
      <c r="Q37" s="7">
        <v>41875</v>
      </c>
      <c r="R37" s="7">
        <v>45748</v>
      </c>
      <c r="S37" t="s">
        <v>42</v>
      </c>
      <c r="T37" t="s">
        <v>42</v>
      </c>
      <c r="U37" t="s">
        <v>42</v>
      </c>
      <c r="V37" t="s">
        <v>42</v>
      </c>
      <c r="W37">
        <v>1</v>
      </c>
      <c r="X37">
        <v>4600</v>
      </c>
      <c r="Z37" t="s">
        <v>43</v>
      </c>
      <c r="AA37">
        <v>10</v>
      </c>
      <c r="AB37" s="7">
        <v>45566</v>
      </c>
      <c r="AD37" t="s">
        <v>44</v>
      </c>
      <c r="AE37" t="s">
        <v>43</v>
      </c>
      <c r="AF37">
        <v>5</v>
      </c>
      <c r="AG37" s="7">
        <v>45725</v>
      </c>
    </row>
    <row r="38" spans="1:35">
      <c r="A38" t="s">
        <v>194</v>
      </c>
      <c r="B38" t="str">
        <f t="shared" si="0"/>
        <v>〇井 〇世</v>
      </c>
      <c r="C38" t="s">
        <v>195</v>
      </c>
      <c r="D38" t="str">
        <f t="shared" si="0"/>
        <v>〇ジイ ト〇ヨ</v>
      </c>
      <c r="E38" t="s">
        <v>37</v>
      </c>
      <c r="F38">
        <v>272070</v>
      </c>
      <c r="G38" t="s">
        <v>38</v>
      </c>
      <c r="H38">
        <v>8551016374</v>
      </c>
      <c r="J38" s="7">
        <v>45566</v>
      </c>
      <c r="K38" s="7">
        <v>45930</v>
      </c>
      <c r="L38" t="s">
        <v>196</v>
      </c>
      <c r="M38" t="str">
        <f t="shared" si="1"/>
        <v>〇井〇翔</v>
      </c>
      <c r="N38" t="s">
        <v>197</v>
      </c>
      <c r="O38" t="str">
        <f t="shared" ref="O38" si="37">SUBSTITUTE(REPLACE(N38,1,1,"〇"),MID(N38,LEN(N38)-1,1),"〇")</f>
        <v>〇ジイ カ〇ル</v>
      </c>
      <c r="P38" t="s">
        <v>41</v>
      </c>
      <c r="Q38" s="7">
        <v>41489</v>
      </c>
      <c r="R38" s="7">
        <v>43986</v>
      </c>
      <c r="S38" t="s">
        <v>42</v>
      </c>
      <c r="T38" t="s">
        <v>42</v>
      </c>
      <c r="U38" t="s">
        <v>42</v>
      </c>
      <c r="V38" t="s">
        <v>42</v>
      </c>
      <c r="W38">
        <v>1</v>
      </c>
      <c r="X38">
        <v>4600</v>
      </c>
      <c r="Y38" t="s">
        <v>44</v>
      </c>
      <c r="Z38" t="s">
        <v>43</v>
      </c>
      <c r="AA38">
        <v>10</v>
      </c>
      <c r="AB38" s="7">
        <v>45566</v>
      </c>
      <c r="AD38" t="s">
        <v>44</v>
      </c>
      <c r="AE38" t="s">
        <v>43</v>
      </c>
      <c r="AF38">
        <v>4</v>
      </c>
      <c r="AG38" s="7">
        <v>45566</v>
      </c>
    </row>
    <row r="39" spans="1:35">
      <c r="A39" t="s">
        <v>194</v>
      </c>
      <c r="B39" t="str">
        <f t="shared" si="0"/>
        <v>〇井 〇世</v>
      </c>
      <c r="C39" t="s">
        <v>195</v>
      </c>
      <c r="D39" t="str">
        <f t="shared" si="0"/>
        <v>〇ジイ ト〇ヨ</v>
      </c>
      <c r="E39" t="s">
        <v>37</v>
      </c>
      <c r="F39">
        <v>272070</v>
      </c>
      <c r="G39" t="s">
        <v>38</v>
      </c>
      <c r="H39">
        <v>8551016382</v>
      </c>
      <c r="J39" s="7">
        <v>45566</v>
      </c>
      <c r="K39" s="7">
        <v>45930</v>
      </c>
      <c r="L39" t="s">
        <v>198</v>
      </c>
      <c r="M39" t="str">
        <f t="shared" si="1"/>
        <v>〇井〇翼</v>
      </c>
      <c r="N39" t="s">
        <v>199</v>
      </c>
      <c r="O39" t="str">
        <f t="shared" ref="O39" si="38">SUBSTITUTE(REPLACE(N39,1,1,"〇"),MID(N39,LEN(N39)-1,1),"〇")</f>
        <v>〇ジイ ツ〇サ</v>
      </c>
      <c r="P39" t="s">
        <v>41</v>
      </c>
      <c r="Q39" s="7">
        <v>41489</v>
      </c>
      <c r="R39" s="7">
        <v>43986</v>
      </c>
      <c r="S39" t="s">
        <v>42</v>
      </c>
      <c r="T39" t="s">
        <v>42</v>
      </c>
      <c r="U39" t="s">
        <v>42</v>
      </c>
      <c r="V39" t="s">
        <v>42</v>
      </c>
      <c r="W39">
        <v>1</v>
      </c>
      <c r="X39">
        <v>4600</v>
      </c>
      <c r="Y39" t="s">
        <v>44</v>
      </c>
      <c r="Z39" t="s">
        <v>43</v>
      </c>
      <c r="AA39">
        <v>10</v>
      </c>
      <c r="AB39" s="7">
        <v>45566</v>
      </c>
      <c r="AD39" t="s">
        <v>44</v>
      </c>
      <c r="AE39" t="s">
        <v>43</v>
      </c>
      <c r="AF39">
        <v>4</v>
      </c>
      <c r="AG39" s="7">
        <v>45566</v>
      </c>
    </row>
    <row r="40" spans="1:35">
      <c r="A40" t="s">
        <v>200</v>
      </c>
      <c r="B40" t="str">
        <f t="shared" si="0"/>
        <v>〇村 〇代</v>
      </c>
      <c r="C40" t="s">
        <v>201</v>
      </c>
      <c r="D40" t="str">
        <f t="shared" si="0"/>
        <v>〇ツムラ タ〇ヨ</v>
      </c>
      <c r="E40" t="s">
        <v>37</v>
      </c>
      <c r="F40">
        <v>272070</v>
      </c>
      <c r="G40" t="s">
        <v>38</v>
      </c>
      <c r="H40">
        <v>8551058061</v>
      </c>
      <c r="I40" s="7">
        <v>45546</v>
      </c>
      <c r="J40" s="7">
        <v>45566</v>
      </c>
      <c r="K40" s="7">
        <v>45930</v>
      </c>
      <c r="L40" t="s">
        <v>202</v>
      </c>
      <c r="M40" t="str">
        <f t="shared" si="1"/>
        <v>〇村 〇花</v>
      </c>
      <c r="N40" t="s">
        <v>203</v>
      </c>
      <c r="O40" t="str">
        <f t="shared" ref="O40" si="39">SUBSTITUTE(REPLACE(N40,1,1,"〇"),MID(N40,LEN(N40)-1,1),"〇")</f>
        <v>〇ツムラ イ〇カ</v>
      </c>
      <c r="P40" t="s">
        <v>98</v>
      </c>
      <c r="Q40" s="7">
        <v>41504</v>
      </c>
      <c r="R40" s="7">
        <v>45566</v>
      </c>
      <c r="S40" t="s">
        <v>42</v>
      </c>
      <c r="T40" t="s">
        <v>42</v>
      </c>
      <c r="U40" t="s">
        <v>42</v>
      </c>
      <c r="V40" t="s">
        <v>42</v>
      </c>
      <c r="W40">
        <v>1</v>
      </c>
      <c r="X40">
        <v>37200</v>
      </c>
      <c r="Z40" t="s">
        <v>43</v>
      </c>
      <c r="AA40">
        <v>10</v>
      </c>
      <c r="AB40" s="7">
        <v>45566</v>
      </c>
      <c r="AC40" s="7">
        <v>45930</v>
      </c>
      <c r="AD40" t="s">
        <v>44</v>
      </c>
      <c r="AE40" t="s">
        <v>43</v>
      </c>
      <c r="AF40">
        <v>4</v>
      </c>
      <c r="AG40" s="7">
        <v>45566</v>
      </c>
      <c r="AH40" s="7">
        <v>45930</v>
      </c>
    </row>
    <row r="41" spans="1:35">
      <c r="A41" t="s">
        <v>204</v>
      </c>
      <c r="B41" t="str">
        <f t="shared" si="0"/>
        <v>〇本 〇美</v>
      </c>
      <c r="C41" t="s">
        <v>205</v>
      </c>
      <c r="D41" t="str">
        <f t="shared" si="0"/>
        <v>〇ツモト ト〇ミ</v>
      </c>
      <c r="E41" t="s">
        <v>37</v>
      </c>
      <c r="F41">
        <v>272070</v>
      </c>
      <c r="G41" t="s">
        <v>38</v>
      </c>
      <c r="H41">
        <v>8551021952</v>
      </c>
      <c r="I41" s="7">
        <v>45560</v>
      </c>
      <c r="J41" s="7">
        <v>45566</v>
      </c>
      <c r="K41" s="7">
        <v>45930</v>
      </c>
      <c r="L41" t="s">
        <v>206</v>
      </c>
      <c r="M41" t="str">
        <f t="shared" si="1"/>
        <v>〇本 〇佑</v>
      </c>
      <c r="N41" t="s">
        <v>207</v>
      </c>
      <c r="O41" t="str">
        <f t="shared" ref="O41" si="40">SUBSTITUTE(REPLACE(N41,1,1,"〇"),MID(N41,LEN(N41)-1,1),"〇")</f>
        <v>〇ツモト 〇ウ</v>
      </c>
      <c r="P41" t="s">
        <v>41</v>
      </c>
      <c r="Q41" s="7">
        <v>41869</v>
      </c>
      <c r="R41" s="7">
        <v>45385</v>
      </c>
      <c r="S41" t="s">
        <v>42</v>
      </c>
      <c r="T41" t="s">
        <v>75</v>
      </c>
      <c r="U41" t="s">
        <v>42</v>
      </c>
      <c r="V41" t="s">
        <v>42</v>
      </c>
      <c r="W41">
        <v>1</v>
      </c>
      <c r="X41">
        <v>37200</v>
      </c>
      <c r="Z41" t="s">
        <v>43</v>
      </c>
      <c r="AA41">
        <v>14</v>
      </c>
      <c r="AB41" s="7">
        <v>45566</v>
      </c>
      <c r="AD41" t="s">
        <v>44</v>
      </c>
      <c r="AE41" t="s">
        <v>43</v>
      </c>
      <c r="AF41">
        <v>4</v>
      </c>
      <c r="AG41" s="7">
        <v>45566</v>
      </c>
      <c r="AI41" t="s">
        <v>85</v>
      </c>
    </row>
    <row r="42" spans="1:35">
      <c r="A42" t="s">
        <v>155</v>
      </c>
      <c r="B42" t="str">
        <f t="shared" si="0"/>
        <v>〇本 〇子</v>
      </c>
      <c r="C42" t="s">
        <v>156</v>
      </c>
      <c r="D42" t="str">
        <f t="shared" si="0"/>
        <v>〇リモト キョ〇コ</v>
      </c>
      <c r="E42" t="s">
        <v>37</v>
      </c>
      <c r="F42">
        <v>272070</v>
      </c>
      <c r="G42" t="s">
        <v>38</v>
      </c>
      <c r="H42">
        <v>8551017554</v>
      </c>
      <c r="J42" s="7">
        <v>45566</v>
      </c>
      <c r="K42" s="7">
        <v>45930</v>
      </c>
      <c r="L42" t="s">
        <v>208</v>
      </c>
      <c r="M42" t="str">
        <f t="shared" si="1"/>
        <v>〇本 〇詠</v>
      </c>
      <c r="N42" t="s">
        <v>209</v>
      </c>
      <c r="O42" t="str">
        <f t="shared" ref="O42" si="41">SUBSTITUTE(REPLACE(N42,1,1,"〇"),MID(N42,LEN(N42)-1,1),"〇")</f>
        <v>〇リモト ユ〇タ</v>
      </c>
      <c r="P42" t="s">
        <v>41</v>
      </c>
      <c r="Q42" s="7">
        <v>41141</v>
      </c>
      <c r="R42" s="7">
        <v>45748</v>
      </c>
      <c r="S42" t="s">
        <v>42</v>
      </c>
      <c r="T42" t="s">
        <v>42</v>
      </c>
      <c r="U42" t="s">
        <v>42</v>
      </c>
      <c r="V42" t="s">
        <v>42</v>
      </c>
      <c r="W42">
        <v>1</v>
      </c>
      <c r="X42">
        <v>4600</v>
      </c>
      <c r="Y42" t="s">
        <v>44</v>
      </c>
      <c r="Z42" t="s">
        <v>43</v>
      </c>
      <c r="AA42">
        <v>10</v>
      </c>
      <c r="AB42" s="7">
        <v>45566</v>
      </c>
      <c r="AD42" t="s">
        <v>44</v>
      </c>
      <c r="AE42" t="s">
        <v>43</v>
      </c>
      <c r="AF42">
        <v>5</v>
      </c>
      <c r="AG42" s="7">
        <v>45725</v>
      </c>
    </row>
    <row r="43" spans="1:35">
      <c r="A43" t="s">
        <v>210</v>
      </c>
      <c r="B43" t="str">
        <f t="shared" si="0"/>
        <v>〇田〇恵</v>
      </c>
      <c r="C43" t="s">
        <v>211</v>
      </c>
      <c r="D43" t="str">
        <f t="shared" si="0"/>
        <v>〇シダ メ〇ミ</v>
      </c>
      <c r="E43" t="s">
        <v>37</v>
      </c>
      <c r="F43">
        <v>272070</v>
      </c>
      <c r="G43" t="s">
        <v>38</v>
      </c>
      <c r="H43">
        <v>8551025383</v>
      </c>
      <c r="J43" s="7">
        <v>45566</v>
      </c>
      <c r="K43" s="7">
        <v>45930</v>
      </c>
      <c r="L43" t="s">
        <v>212</v>
      </c>
      <c r="M43" t="str">
        <f t="shared" si="1"/>
        <v>〇田〇航</v>
      </c>
      <c r="N43" t="s">
        <v>213</v>
      </c>
      <c r="O43" t="str">
        <f t="shared" ref="O43" si="42">SUBSTITUTE(REPLACE(N43,1,1,"〇"),MID(N43,LEN(N43)-1,1),"〇")</f>
        <v>〇シダ ワ〇ル</v>
      </c>
      <c r="P43" t="s">
        <v>41</v>
      </c>
      <c r="Q43" s="7">
        <v>42247</v>
      </c>
      <c r="R43" s="7">
        <v>45748</v>
      </c>
      <c r="S43" t="s">
        <v>42</v>
      </c>
      <c r="T43" t="s">
        <v>42</v>
      </c>
      <c r="U43" t="s">
        <v>42</v>
      </c>
      <c r="V43" t="s">
        <v>42</v>
      </c>
      <c r="W43">
        <v>1</v>
      </c>
      <c r="X43">
        <v>4600</v>
      </c>
      <c r="Z43" t="s">
        <v>43</v>
      </c>
      <c r="AA43">
        <v>10</v>
      </c>
      <c r="AB43" s="7">
        <v>45566</v>
      </c>
      <c r="AD43" t="s">
        <v>44</v>
      </c>
      <c r="AE43" t="s">
        <v>43</v>
      </c>
      <c r="AF43">
        <v>5</v>
      </c>
      <c r="AG43" s="7">
        <v>45725</v>
      </c>
    </row>
    <row r="44" spans="1:35">
      <c r="A44" t="s">
        <v>214</v>
      </c>
      <c r="B44" t="str">
        <f t="shared" si="0"/>
        <v>〇之内 〇美</v>
      </c>
      <c r="C44" t="s">
        <v>215</v>
      </c>
      <c r="D44" t="str">
        <f t="shared" si="0"/>
        <v>〇シノウチ ユ〇ミ</v>
      </c>
      <c r="E44" t="s">
        <v>37</v>
      </c>
      <c r="F44">
        <v>272070</v>
      </c>
      <c r="G44" t="s">
        <v>38</v>
      </c>
      <c r="H44">
        <v>8551061537</v>
      </c>
      <c r="J44" s="7">
        <v>45566</v>
      </c>
      <c r="K44" s="7">
        <v>45930</v>
      </c>
      <c r="L44" t="s">
        <v>216</v>
      </c>
      <c r="M44" t="str">
        <f t="shared" si="1"/>
        <v>〇之内 〇樹</v>
      </c>
      <c r="N44" t="s">
        <v>217</v>
      </c>
      <c r="O44" t="str">
        <f t="shared" ref="O44" si="43">SUBSTITUTE(REPLACE(N44,1,1,"〇"),MID(N44,LEN(N44)-1,1),"〇")</f>
        <v>〇シノウチ カ〇キ</v>
      </c>
      <c r="P44" t="s">
        <v>41</v>
      </c>
      <c r="Q44" s="7">
        <v>42231</v>
      </c>
      <c r="R44" s="7">
        <v>45748</v>
      </c>
      <c r="S44" t="s">
        <v>42</v>
      </c>
      <c r="T44" t="s">
        <v>42</v>
      </c>
      <c r="U44" t="s">
        <v>42</v>
      </c>
      <c r="V44" t="s">
        <v>42</v>
      </c>
      <c r="W44">
        <v>1</v>
      </c>
      <c r="X44">
        <v>37200</v>
      </c>
      <c r="Z44" t="s">
        <v>43</v>
      </c>
      <c r="AA44">
        <v>10</v>
      </c>
      <c r="AB44" s="7">
        <v>45566</v>
      </c>
      <c r="AC44" s="7">
        <v>45930</v>
      </c>
      <c r="AD44" t="s">
        <v>44</v>
      </c>
      <c r="AE44" t="s">
        <v>43</v>
      </c>
      <c r="AF44">
        <v>5</v>
      </c>
      <c r="AG44" s="7">
        <v>45566</v>
      </c>
      <c r="AH44" s="7">
        <v>45930</v>
      </c>
    </row>
    <row r="45" spans="1:35">
      <c r="A45" t="s">
        <v>218</v>
      </c>
      <c r="B45" t="str">
        <f t="shared" si="0"/>
        <v>〇野 ひ〇み</v>
      </c>
      <c r="C45" t="s">
        <v>219</v>
      </c>
      <c r="D45" t="str">
        <f t="shared" si="0"/>
        <v>〇シノ ヒ〇ミ</v>
      </c>
      <c r="E45" t="s">
        <v>37</v>
      </c>
      <c r="F45">
        <v>272070</v>
      </c>
      <c r="G45" t="s">
        <v>38</v>
      </c>
      <c r="H45">
        <v>8551010484</v>
      </c>
      <c r="I45" s="7">
        <v>45583</v>
      </c>
      <c r="J45" s="7">
        <v>45597</v>
      </c>
      <c r="K45" s="7">
        <v>45747</v>
      </c>
      <c r="L45" t="s">
        <v>220</v>
      </c>
      <c r="M45" t="str">
        <f t="shared" si="1"/>
        <v>〇野 〇哉</v>
      </c>
      <c r="N45" t="s">
        <v>221</v>
      </c>
      <c r="O45" t="str">
        <f t="shared" ref="O45" si="44">SUBSTITUTE(REPLACE(N45,1,1,"〇"),MID(N45,LEN(N45)-1,1),"〇")</f>
        <v>〇シノ ユ〇ヤ</v>
      </c>
      <c r="P45" t="s">
        <v>41</v>
      </c>
      <c r="Q45" s="7">
        <v>38982</v>
      </c>
      <c r="R45" s="7">
        <v>45231</v>
      </c>
      <c r="S45" t="s">
        <v>42</v>
      </c>
      <c r="T45" t="s">
        <v>42</v>
      </c>
      <c r="U45" t="s">
        <v>42</v>
      </c>
      <c r="V45" t="s">
        <v>42</v>
      </c>
      <c r="W45">
        <v>1</v>
      </c>
      <c r="X45">
        <v>0</v>
      </c>
      <c r="Z45" t="s">
        <v>43</v>
      </c>
      <c r="AA45">
        <v>14</v>
      </c>
      <c r="AB45" s="7">
        <v>45597</v>
      </c>
      <c r="AD45" t="s">
        <v>44</v>
      </c>
      <c r="AE45" t="s">
        <v>43</v>
      </c>
      <c r="AF45">
        <v>10</v>
      </c>
      <c r="AG45" s="7">
        <v>45597</v>
      </c>
      <c r="AI45" t="s">
        <v>222</v>
      </c>
    </row>
    <row r="46" spans="1:35">
      <c r="A46" t="s">
        <v>223</v>
      </c>
      <c r="B46" t="str">
        <f t="shared" si="0"/>
        <v>〇野 千〇子</v>
      </c>
      <c r="C46" t="s">
        <v>224</v>
      </c>
      <c r="D46" t="str">
        <f t="shared" si="0"/>
        <v>〇マノ チ〇コ</v>
      </c>
      <c r="E46" t="s">
        <v>37</v>
      </c>
      <c r="F46">
        <v>272070</v>
      </c>
      <c r="G46" t="s">
        <v>38</v>
      </c>
      <c r="H46">
        <v>8551060315</v>
      </c>
      <c r="I46" s="7">
        <v>45575</v>
      </c>
      <c r="J46" s="7">
        <v>45597</v>
      </c>
      <c r="K46" s="7">
        <v>45961</v>
      </c>
      <c r="L46" t="s">
        <v>225</v>
      </c>
      <c r="M46" t="str">
        <f t="shared" si="1"/>
        <v>〇野 〇子</v>
      </c>
      <c r="N46" t="s">
        <v>226</v>
      </c>
      <c r="O46" t="str">
        <f t="shared" ref="O46" si="45">SUBSTITUTE(REPLACE(N46,1,1,"〇"),MID(N46,LEN(N46)-1,1),"〇")</f>
        <v>〇マノ ツ〇コ</v>
      </c>
      <c r="P46" t="s">
        <v>98</v>
      </c>
      <c r="Q46" s="7">
        <v>42990</v>
      </c>
      <c r="R46" s="7">
        <v>45569</v>
      </c>
      <c r="S46" t="s">
        <v>42</v>
      </c>
      <c r="T46" t="s">
        <v>42</v>
      </c>
      <c r="U46" t="s">
        <v>42</v>
      </c>
      <c r="V46" t="s">
        <v>42</v>
      </c>
      <c r="W46">
        <v>1</v>
      </c>
      <c r="X46">
        <v>37200</v>
      </c>
      <c r="Z46" t="s">
        <v>43</v>
      </c>
      <c r="AA46">
        <v>10</v>
      </c>
      <c r="AB46" s="7">
        <v>45597</v>
      </c>
      <c r="AD46" t="s">
        <v>44</v>
      </c>
      <c r="AE46" t="s">
        <v>43</v>
      </c>
      <c r="AF46">
        <v>5</v>
      </c>
      <c r="AG46" s="7">
        <v>45597</v>
      </c>
    </row>
    <row r="47" spans="1:35">
      <c r="A47" t="s">
        <v>227</v>
      </c>
      <c r="B47" t="str">
        <f t="shared" si="0"/>
        <v>〇井 貴〇枝</v>
      </c>
      <c r="C47" t="s">
        <v>228</v>
      </c>
      <c r="D47" t="str">
        <f t="shared" si="0"/>
        <v>〇オイ キ〇エ</v>
      </c>
      <c r="E47" t="s">
        <v>37</v>
      </c>
      <c r="F47">
        <v>272070</v>
      </c>
      <c r="G47" t="s">
        <v>38</v>
      </c>
      <c r="H47">
        <v>8551013348</v>
      </c>
      <c r="I47" s="7">
        <v>45583</v>
      </c>
      <c r="J47" s="7">
        <v>45597</v>
      </c>
      <c r="K47" s="7">
        <v>45961</v>
      </c>
      <c r="L47" t="s">
        <v>229</v>
      </c>
      <c r="M47" t="str">
        <f t="shared" si="1"/>
        <v>〇井 〇郁</v>
      </c>
      <c r="N47" t="s">
        <v>230</v>
      </c>
      <c r="O47" t="str">
        <f t="shared" ref="O47" si="46">SUBSTITUTE(REPLACE(N47,1,1,"〇"),MID(N47,LEN(N47)-1,1),"〇")</f>
        <v>〇オ〇 ミ〇ク</v>
      </c>
      <c r="P47" t="s">
        <v>98</v>
      </c>
      <c r="Q47" s="7">
        <v>41544</v>
      </c>
      <c r="R47" s="7">
        <v>44866</v>
      </c>
      <c r="S47" t="s">
        <v>42</v>
      </c>
      <c r="T47" t="s">
        <v>75</v>
      </c>
      <c r="U47" t="s">
        <v>42</v>
      </c>
      <c r="V47" t="s">
        <v>42</v>
      </c>
      <c r="W47">
        <v>1</v>
      </c>
      <c r="X47">
        <v>37200</v>
      </c>
      <c r="Z47" t="s">
        <v>43</v>
      </c>
      <c r="AA47">
        <v>18</v>
      </c>
      <c r="AB47" s="7">
        <v>45597</v>
      </c>
      <c r="AD47" t="s">
        <v>44</v>
      </c>
      <c r="AE47" t="s">
        <v>43</v>
      </c>
      <c r="AF47">
        <v>10</v>
      </c>
      <c r="AG47" s="7">
        <v>45597</v>
      </c>
      <c r="AI47" t="s">
        <v>231</v>
      </c>
    </row>
    <row r="48" spans="1:35">
      <c r="A48" t="s">
        <v>232</v>
      </c>
      <c r="B48" t="str">
        <f t="shared" si="0"/>
        <v>〇蔵原 〇弓</v>
      </c>
      <c r="C48" t="s">
        <v>233</v>
      </c>
      <c r="D48" t="str">
        <f t="shared" si="0"/>
        <v>〇ゾウハラ マ〇ミ</v>
      </c>
      <c r="E48" t="s">
        <v>37</v>
      </c>
      <c r="F48">
        <v>272070</v>
      </c>
      <c r="G48" t="s">
        <v>38</v>
      </c>
      <c r="H48">
        <v>8551007233</v>
      </c>
      <c r="I48" s="7">
        <v>45227</v>
      </c>
      <c r="J48" s="7">
        <v>45597</v>
      </c>
      <c r="K48" s="7">
        <v>45961</v>
      </c>
      <c r="L48" t="s">
        <v>234</v>
      </c>
      <c r="M48" t="str">
        <f t="shared" si="1"/>
        <v>〇蔵原 〇大</v>
      </c>
      <c r="N48" t="s">
        <v>235</v>
      </c>
      <c r="O48" t="str">
        <f t="shared" ref="O48" si="47">SUBSTITUTE(REPLACE(N48,1,1,"〇"),MID(N48,LEN(N48)-1,1),"〇")</f>
        <v>〇ゾ〇ハラ ソ〇タ</v>
      </c>
      <c r="P48" t="s">
        <v>41</v>
      </c>
      <c r="Q48" s="7">
        <v>39710</v>
      </c>
      <c r="R48" s="7">
        <v>44314</v>
      </c>
      <c r="S48" t="s">
        <v>42</v>
      </c>
      <c r="T48" t="s">
        <v>42</v>
      </c>
      <c r="U48" t="s">
        <v>42</v>
      </c>
      <c r="V48" t="s">
        <v>42</v>
      </c>
      <c r="W48">
        <v>1</v>
      </c>
      <c r="X48">
        <v>0</v>
      </c>
      <c r="Z48" t="s">
        <v>43</v>
      </c>
      <c r="AA48">
        <v>10</v>
      </c>
      <c r="AB48" s="7">
        <v>45597</v>
      </c>
      <c r="AD48" t="s">
        <v>44</v>
      </c>
      <c r="AE48" t="s">
        <v>43</v>
      </c>
      <c r="AF48">
        <v>5</v>
      </c>
      <c r="AG48" s="7">
        <v>45597</v>
      </c>
      <c r="AI48" t="s">
        <v>103</v>
      </c>
    </row>
    <row r="49" spans="1:35">
      <c r="A49" t="s">
        <v>236</v>
      </c>
      <c r="B49" t="str">
        <f t="shared" si="0"/>
        <v>〇木 〇美</v>
      </c>
      <c r="C49" t="s">
        <v>237</v>
      </c>
      <c r="D49" t="str">
        <f t="shared" si="0"/>
        <v>〇カギ ア〇ミ</v>
      </c>
      <c r="E49" t="s">
        <v>37</v>
      </c>
      <c r="F49">
        <v>272070</v>
      </c>
      <c r="G49" t="s">
        <v>38</v>
      </c>
      <c r="H49">
        <v>8551050399</v>
      </c>
      <c r="I49" s="7">
        <v>45575</v>
      </c>
      <c r="J49" s="7">
        <v>45597</v>
      </c>
      <c r="K49" s="7">
        <v>45961</v>
      </c>
      <c r="L49" t="s">
        <v>238</v>
      </c>
      <c r="M49" t="str">
        <f t="shared" si="1"/>
        <v>〇木 〇吾</v>
      </c>
      <c r="N49" t="s">
        <v>239</v>
      </c>
      <c r="O49" t="str">
        <f t="shared" ref="O49" si="48">SUBSTITUTE(REPLACE(N49,1,1,"〇"),MID(N49,LEN(N49)-1,1),"〇")</f>
        <v>〇カギ ケ〇ゴ</v>
      </c>
      <c r="P49" t="s">
        <v>41</v>
      </c>
      <c r="Q49" s="7">
        <v>42614</v>
      </c>
      <c r="R49" s="7">
        <v>45531</v>
      </c>
      <c r="S49" t="s">
        <v>42</v>
      </c>
      <c r="T49" t="s">
        <v>42</v>
      </c>
      <c r="U49" t="s">
        <v>42</v>
      </c>
      <c r="V49" t="s">
        <v>42</v>
      </c>
      <c r="W49">
        <v>1</v>
      </c>
      <c r="X49">
        <v>4600</v>
      </c>
      <c r="Y49" t="s">
        <v>44</v>
      </c>
      <c r="Z49" t="s">
        <v>43</v>
      </c>
      <c r="AA49">
        <v>14</v>
      </c>
      <c r="AB49" s="7">
        <v>45597</v>
      </c>
      <c r="AD49" t="s">
        <v>44</v>
      </c>
      <c r="AE49" t="s">
        <v>43</v>
      </c>
      <c r="AF49">
        <v>5</v>
      </c>
      <c r="AG49" s="7">
        <v>45597</v>
      </c>
    </row>
    <row r="50" spans="1:35">
      <c r="A50" t="s">
        <v>240</v>
      </c>
      <c r="B50" t="str">
        <f t="shared" si="0"/>
        <v>〇田 〇み</v>
      </c>
      <c r="C50" t="s">
        <v>241</v>
      </c>
      <c r="D50" t="str">
        <f t="shared" si="0"/>
        <v>〇マダ 〇ミ</v>
      </c>
      <c r="E50" t="s">
        <v>37</v>
      </c>
      <c r="F50">
        <v>272070</v>
      </c>
      <c r="G50" t="s">
        <v>38</v>
      </c>
      <c r="H50">
        <v>8551013660</v>
      </c>
      <c r="I50" s="7">
        <v>45575</v>
      </c>
      <c r="J50" s="7">
        <v>45597</v>
      </c>
      <c r="K50" s="7">
        <v>45961</v>
      </c>
      <c r="L50" t="s">
        <v>242</v>
      </c>
      <c r="M50" t="str">
        <f t="shared" si="1"/>
        <v>〇田 〇愛</v>
      </c>
      <c r="N50" t="s">
        <v>243</v>
      </c>
      <c r="O50" t="str">
        <f t="shared" ref="O50" si="49">SUBSTITUTE(REPLACE(N50,1,1,"〇"),MID(N50,LEN(N50)-1,1),"〇")</f>
        <v>〇マダ 〇ア</v>
      </c>
      <c r="P50" t="s">
        <v>98</v>
      </c>
      <c r="Q50" s="7">
        <v>41179</v>
      </c>
      <c r="R50" s="7">
        <v>45231</v>
      </c>
      <c r="S50" t="s">
        <v>42</v>
      </c>
      <c r="T50" t="s">
        <v>42</v>
      </c>
      <c r="U50" t="s">
        <v>42</v>
      </c>
      <c r="V50" t="s">
        <v>42</v>
      </c>
      <c r="W50">
        <v>1</v>
      </c>
      <c r="X50">
        <v>4600</v>
      </c>
      <c r="Z50" t="s">
        <v>43</v>
      </c>
      <c r="AA50">
        <v>10</v>
      </c>
      <c r="AB50" s="7">
        <v>45597</v>
      </c>
      <c r="AD50" t="s">
        <v>44</v>
      </c>
      <c r="AE50" t="s">
        <v>43</v>
      </c>
      <c r="AF50">
        <v>5</v>
      </c>
      <c r="AG50" s="7">
        <v>45597</v>
      </c>
      <c r="AH50" s="7">
        <v>45747</v>
      </c>
    </row>
    <row r="51" spans="1:35">
      <c r="A51" t="s">
        <v>244</v>
      </c>
      <c r="B51" t="str">
        <f t="shared" si="0"/>
        <v>〇仲 絵〇子</v>
      </c>
      <c r="C51" t="s">
        <v>245</v>
      </c>
      <c r="D51" t="str">
        <f t="shared" si="0"/>
        <v>〇ツナカ エ〇コ</v>
      </c>
      <c r="E51" t="s">
        <v>37</v>
      </c>
      <c r="F51">
        <v>272070</v>
      </c>
      <c r="G51" t="s">
        <v>38</v>
      </c>
      <c r="H51">
        <v>8551028023</v>
      </c>
      <c r="I51" s="7">
        <v>45575</v>
      </c>
      <c r="J51" s="7">
        <v>45597</v>
      </c>
      <c r="K51" s="7">
        <v>45961</v>
      </c>
      <c r="L51" t="s">
        <v>246</v>
      </c>
      <c r="M51" t="str">
        <f t="shared" si="1"/>
        <v>〇仲 〇大</v>
      </c>
      <c r="N51" t="s">
        <v>247</v>
      </c>
      <c r="O51" t="str">
        <f t="shared" ref="O51" si="50">SUBSTITUTE(REPLACE(N51,1,1,"〇"),MID(N51,LEN(N51)-1,1),"〇")</f>
        <v>〇ツナカ ユウ〇イ</v>
      </c>
      <c r="P51" t="s">
        <v>41</v>
      </c>
      <c r="Q51" s="7">
        <v>42619</v>
      </c>
      <c r="R51" s="7">
        <v>45433</v>
      </c>
      <c r="S51" t="s">
        <v>42</v>
      </c>
      <c r="T51" t="s">
        <v>42</v>
      </c>
      <c r="U51" t="s">
        <v>42</v>
      </c>
      <c r="V51" t="s">
        <v>42</v>
      </c>
      <c r="W51">
        <v>1</v>
      </c>
      <c r="X51">
        <v>4600</v>
      </c>
      <c r="Y51" t="s">
        <v>248</v>
      </c>
      <c r="Z51" t="s">
        <v>43</v>
      </c>
      <c r="AA51">
        <v>10</v>
      </c>
      <c r="AB51" s="7">
        <v>45597</v>
      </c>
      <c r="AD51" t="s">
        <v>44</v>
      </c>
      <c r="AE51" t="s">
        <v>43</v>
      </c>
      <c r="AF51">
        <v>4</v>
      </c>
      <c r="AG51" s="7">
        <v>45597</v>
      </c>
    </row>
    <row r="52" spans="1:35">
      <c r="A52" t="s">
        <v>90</v>
      </c>
      <c r="B52" t="str">
        <f t="shared" si="0"/>
        <v>〇本 木〇子</v>
      </c>
      <c r="C52" t="s">
        <v>91</v>
      </c>
      <c r="D52" t="str">
        <f t="shared" si="0"/>
        <v>〇マモト ユ〇コ</v>
      </c>
      <c r="E52" t="s">
        <v>37</v>
      </c>
      <c r="F52">
        <v>272070</v>
      </c>
      <c r="G52" t="s">
        <v>38</v>
      </c>
      <c r="H52">
        <v>8551032322</v>
      </c>
      <c r="I52" s="7">
        <v>45575</v>
      </c>
      <c r="J52" s="7">
        <v>45597</v>
      </c>
      <c r="K52" s="7">
        <v>45961</v>
      </c>
      <c r="L52" t="s">
        <v>249</v>
      </c>
      <c r="M52" t="str">
        <f t="shared" si="1"/>
        <v>〇本 〇瑚</v>
      </c>
      <c r="N52" t="s">
        <v>250</v>
      </c>
      <c r="O52" t="str">
        <f t="shared" ref="O52" si="51">SUBSTITUTE(REPLACE(N52,1,1,"〇"),MID(N52,LEN(N52)-1,1),"〇")</f>
        <v>〇マモト 〇コ</v>
      </c>
      <c r="P52" t="s">
        <v>98</v>
      </c>
      <c r="Q52" s="7">
        <v>43002</v>
      </c>
      <c r="R52" s="7">
        <v>45569</v>
      </c>
      <c r="S52" t="s">
        <v>42</v>
      </c>
      <c r="T52" t="s">
        <v>42</v>
      </c>
      <c r="U52" t="s">
        <v>42</v>
      </c>
      <c r="V52" t="s">
        <v>42</v>
      </c>
      <c r="W52">
        <v>1</v>
      </c>
      <c r="X52">
        <v>4600</v>
      </c>
      <c r="Y52" t="s">
        <v>44</v>
      </c>
      <c r="Z52" t="s">
        <v>43</v>
      </c>
      <c r="AA52">
        <v>10</v>
      </c>
      <c r="AB52" s="7">
        <v>45597</v>
      </c>
      <c r="AD52" t="s">
        <v>44</v>
      </c>
      <c r="AE52" t="s">
        <v>43</v>
      </c>
      <c r="AF52">
        <v>4</v>
      </c>
      <c r="AG52" s="7">
        <v>45597</v>
      </c>
    </row>
    <row r="53" spans="1:35">
      <c r="A53" t="s">
        <v>251</v>
      </c>
      <c r="B53" t="str">
        <f t="shared" si="0"/>
        <v>〇口 〇子</v>
      </c>
      <c r="C53" t="s">
        <v>252</v>
      </c>
      <c r="D53" t="str">
        <f t="shared" si="0"/>
        <v>〇マグチ ヨ〇コ</v>
      </c>
      <c r="E53" t="s">
        <v>37</v>
      </c>
      <c r="F53">
        <v>272070</v>
      </c>
      <c r="G53" t="s">
        <v>38</v>
      </c>
      <c r="H53">
        <v>8551069183</v>
      </c>
      <c r="J53" s="7">
        <v>45610</v>
      </c>
      <c r="K53" s="7">
        <v>45991</v>
      </c>
      <c r="L53" t="s">
        <v>253</v>
      </c>
      <c r="M53" t="str">
        <f t="shared" si="1"/>
        <v>〇口 〇舞</v>
      </c>
      <c r="N53" t="s">
        <v>254</v>
      </c>
      <c r="O53" t="str">
        <f t="shared" ref="O53" si="52">SUBSTITUTE(REPLACE(N53,1,1,"〇"),MID(N53,LEN(N53)-1,1),"〇")</f>
        <v>〇マグチ 〇マ</v>
      </c>
      <c r="P53" t="s">
        <v>98</v>
      </c>
      <c r="Q53" s="7">
        <v>41575</v>
      </c>
      <c r="R53" s="7">
        <v>45772</v>
      </c>
      <c r="S53" t="s">
        <v>42</v>
      </c>
      <c r="T53" t="s">
        <v>42</v>
      </c>
      <c r="U53" t="s">
        <v>42</v>
      </c>
      <c r="V53" t="s">
        <v>42</v>
      </c>
      <c r="W53">
        <v>1</v>
      </c>
      <c r="X53">
        <v>4600</v>
      </c>
      <c r="Z53" t="s">
        <v>43</v>
      </c>
      <c r="AA53">
        <v>10</v>
      </c>
      <c r="AB53" s="7">
        <v>45610</v>
      </c>
      <c r="AD53" t="s">
        <v>44</v>
      </c>
      <c r="AE53" t="s">
        <v>43</v>
      </c>
      <c r="AF53">
        <v>2</v>
      </c>
      <c r="AG53" s="7">
        <v>45610</v>
      </c>
    </row>
    <row r="54" spans="1:35">
      <c r="A54" t="s">
        <v>255</v>
      </c>
      <c r="B54" t="str">
        <f t="shared" si="0"/>
        <v>〇水 〇子</v>
      </c>
      <c r="C54" t="s">
        <v>256</v>
      </c>
      <c r="D54" t="str">
        <f t="shared" si="0"/>
        <v>〇ツミズ ヨ〇コ</v>
      </c>
      <c r="E54" t="s">
        <v>37</v>
      </c>
      <c r="F54">
        <v>272070</v>
      </c>
      <c r="G54" t="s">
        <v>38</v>
      </c>
      <c r="H54">
        <v>8551031142</v>
      </c>
      <c r="J54" s="7">
        <v>45627</v>
      </c>
      <c r="K54" s="7">
        <v>45747</v>
      </c>
      <c r="L54" t="s">
        <v>257</v>
      </c>
      <c r="M54" t="str">
        <f t="shared" si="1"/>
        <v>〇水 〇樹</v>
      </c>
      <c r="N54" t="s">
        <v>258</v>
      </c>
      <c r="O54" t="str">
        <f t="shared" ref="O54" si="53">SUBSTITUTE(REPLACE(N54,1,1,"〇"),MID(N54,LEN(N54)-1,1),"〇")</f>
        <v>〇ツミズ ユ〇キ</v>
      </c>
      <c r="P54" t="s">
        <v>41</v>
      </c>
      <c r="Q54" s="7">
        <v>39014</v>
      </c>
      <c r="R54" s="7">
        <v>45238</v>
      </c>
      <c r="S54" t="s">
        <v>42</v>
      </c>
      <c r="T54" t="s">
        <v>42</v>
      </c>
      <c r="U54" t="s">
        <v>42</v>
      </c>
      <c r="V54" t="s">
        <v>42</v>
      </c>
      <c r="W54">
        <v>1</v>
      </c>
      <c r="X54">
        <v>4600</v>
      </c>
      <c r="Z54" t="s">
        <v>43</v>
      </c>
      <c r="AA54">
        <v>10</v>
      </c>
      <c r="AB54" s="7">
        <v>45627</v>
      </c>
      <c r="AC54" s="7">
        <v>45747</v>
      </c>
      <c r="AD54" t="s">
        <v>44</v>
      </c>
      <c r="AE54" t="s">
        <v>43</v>
      </c>
      <c r="AF54">
        <v>10</v>
      </c>
      <c r="AG54" s="7">
        <v>45627</v>
      </c>
      <c r="AH54" s="7">
        <v>45747</v>
      </c>
    </row>
    <row r="55" spans="1:35">
      <c r="A55" t="s">
        <v>259</v>
      </c>
      <c r="B55" t="str">
        <f t="shared" si="0"/>
        <v>〇笠原 〇美</v>
      </c>
      <c r="C55" t="s">
        <v>260</v>
      </c>
      <c r="D55" t="str">
        <f t="shared" si="0"/>
        <v>〇ガサハラ ム〇ミ</v>
      </c>
      <c r="E55" t="s">
        <v>37</v>
      </c>
      <c r="F55">
        <v>272070</v>
      </c>
      <c r="G55" t="s">
        <v>38</v>
      </c>
      <c r="H55">
        <v>8551063459</v>
      </c>
      <c r="J55" s="7">
        <v>45627</v>
      </c>
      <c r="K55" s="7">
        <v>45991</v>
      </c>
      <c r="L55" t="s">
        <v>261</v>
      </c>
      <c r="M55" t="str">
        <f t="shared" si="1"/>
        <v>〇笠原〇駿</v>
      </c>
      <c r="N55" t="s">
        <v>262</v>
      </c>
      <c r="O55" t="str">
        <f t="shared" ref="O55" si="54">SUBSTITUTE(REPLACE(N55,1,1,"〇"),MID(N55,LEN(N55)-1,1),"〇")</f>
        <v>〇ガサハラ シ〇ン</v>
      </c>
      <c r="P55" t="s">
        <v>41</v>
      </c>
      <c r="Q55" s="7">
        <v>42288</v>
      </c>
      <c r="R55" s="7">
        <v>45748</v>
      </c>
      <c r="S55" t="s">
        <v>42</v>
      </c>
      <c r="T55" t="s">
        <v>42</v>
      </c>
      <c r="U55" t="s">
        <v>42</v>
      </c>
      <c r="V55" t="s">
        <v>42</v>
      </c>
      <c r="W55">
        <v>1</v>
      </c>
      <c r="X55">
        <v>4600</v>
      </c>
      <c r="Y55" t="s">
        <v>44</v>
      </c>
      <c r="Z55" t="s">
        <v>43</v>
      </c>
      <c r="AA55">
        <v>10</v>
      </c>
      <c r="AB55" s="7">
        <v>45627</v>
      </c>
      <c r="AD55" t="s">
        <v>44</v>
      </c>
      <c r="AE55" t="s">
        <v>43</v>
      </c>
      <c r="AF55">
        <v>5</v>
      </c>
      <c r="AG55" s="7">
        <v>45725</v>
      </c>
    </row>
    <row r="56" spans="1:35">
      <c r="A56" t="s">
        <v>263</v>
      </c>
      <c r="B56" t="str">
        <f t="shared" si="0"/>
        <v>〇見渕 〇乃</v>
      </c>
      <c r="C56" t="s">
        <v>264</v>
      </c>
      <c r="D56" t="str">
        <f t="shared" si="0"/>
        <v>〇ミブチ イ〇ノ</v>
      </c>
      <c r="E56" t="s">
        <v>37</v>
      </c>
      <c r="F56">
        <v>272070</v>
      </c>
      <c r="G56" t="s">
        <v>38</v>
      </c>
      <c r="H56">
        <v>8551060232</v>
      </c>
      <c r="J56" s="7">
        <v>45627</v>
      </c>
      <c r="K56" s="7">
        <v>45991</v>
      </c>
      <c r="L56" t="s">
        <v>265</v>
      </c>
      <c r="M56" t="str">
        <f t="shared" si="1"/>
        <v>〇見渕 〇吾</v>
      </c>
      <c r="N56" t="s">
        <v>266</v>
      </c>
      <c r="O56" t="str">
        <f t="shared" ref="O56" si="55">SUBSTITUTE(REPLACE(N56,1,1,"〇"),MID(N56,LEN(N56)-1,1),"〇")</f>
        <v>〇ミブチ ト〇ゴ</v>
      </c>
      <c r="P56" t="s">
        <v>41</v>
      </c>
      <c r="Q56" s="7">
        <v>41575</v>
      </c>
      <c r="R56" s="7">
        <v>45029</v>
      </c>
      <c r="S56" t="s">
        <v>42</v>
      </c>
      <c r="T56" t="s">
        <v>42</v>
      </c>
      <c r="U56" t="s">
        <v>42</v>
      </c>
      <c r="V56" t="s">
        <v>42</v>
      </c>
      <c r="W56">
        <v>1</v>
      </c>
      <c r="X56">
        <v>4600</v>
      </c>
      <c r="Z56" t="s">
        <v>43</v>
      </c>
      <c r="AA56">
        <v>10</v>
      </c>
      <c r="AB56" s="7">
        <v>45627</v>
      </c>
      <c r="AD56" t="s">
        <v>44</v>
      </c>
      <c r="AE56" t="s">
        <v>43</v>
      </c>
      <c r="AF56">
        <v>5</v>
      </c>
      <c r="AG56" s="7">
        <v>45627</v>
      </c>
    </row>
    <row r="57" spans="1:35">
      <c r="A57" t="s">
        <v>267</v>
      </c>
      <c r="B57" t="str">
        <f t="shared" si="0"/>
        <v>〇倉 麻〇美</v>
      </c>
      <c r="C57" t="s">
        <v>268</v>
      </c>
      <c r="D57" t="str">
        <f t="shared" si="0"/>
        <v>〇マクラ マ〇ミ</v>
      </c>
      <c r="E57" t="s">
        <v>37</v>
      </c>
      <c r="F57">
        <v>272070</v>
      </c>
      <c r="G57" t="s">
        <v>38</v>
      </c>
      <c r="H57">
        <v>8551031209</v>
      </c>
      <c r="I57" s="7">
        <v>45610</v>
      </c>
      <c r="J57" s="7">
        <v>45627</v>
      </c>
      <c r="K57" s="7">
        <v>45991</v>
      </c>
      <c r="L57" t="s">
        <v>269</v>
      </c>
      <c r="M57" t="str">
        <f t="shared" si="1"/>
        <v>〇倉 〇来</v>
      </c>
      <c r="N57" t="s">
        <v>270</v>
      </c>
      <c r="O57" t="str">
        <f t="shared" ref="O57" si="56">SUBSTITUTE(REPLACE(N57,1,1,"〇"),MID(N57,LEN(N57)-1,1),"〇")</f>
        <v>〇マ〇ラ ミ〇ル</v>
      </c>
      <c r="P57" t="s">
        <v>98</v>
      </c>
      <c r="Q57" s="7">
        <v>40460</v>
      </c>
      <c r="R57" s="7">
        <v>45261</v>
      </c>
      <c r="S57" t="s">
        <v>42</v>
      </c>
      <c r="T57" t="s">
        <v>42</v>
      </c>
      <c r="U57" t="s">
        <v>42</v>
      </c>
      <c r="V57" t="s">
        <v>42</v>
      </c>
      <c r="W57">
        <v>1</v>
      </c>
      <c r="X57">
        <v>37200</v>
      </c>
      <c r="Z57" t="s">
        <v>43</v>
      </c>
      <c r="AA57">
        <v>10</v>
      </c>
      <c r="AB57" s="7">
        <v>45627</v>
      </c>
      <c r="AD57" t="s">
        <v>44</v>
      </c>
      <c r="AE57" t="s">
        <v>43</v>
      </c>
      <c r="AF57">
        <v>4</v>
      </c>
      <c r="AG57" s="7">
        <v>45627</v>
      </c>
    </row>
    <row r="58" spans="1:35">
      <c r="A58" t="s">
        <v>271</v>
      </c>
      <c r="B58" t="str">
        <f t="shared" si="0"/>
        <v>〇野 千〇子</v>
      </c>
      <c r="C58" t="s">
        <v>272</v>
      </c>
      <c r="D58" t="str">
        <f t="shared" si="0"/>
        <v>〇ワノ チ〇コ</v>
      </c>
      <c r="E58" t="s">
        <v>37</v>
      </c>
      <c r="F58">
        <v>272070</v>
      </c>
      <c r="G58" t="s">
        <v>38</v>
      </c>
      <c r="H58">
        <v>8551015319</v>
      </c>
      <c r="I58" s="7">
        <v>45257</v>
      </c>
      <c r="J58" s="7">
        <v>45627</v>
      </c>
      <c r="K58" s="7">
        <v>45991</v>
      </c>
      <c r="L58" t="s">
        <v>273</v>
      </c>
      <c r="M58" t="str">
        <f t="shared" si="1"/>
        <v>〇野 〇輝</v>
      </c>
      <c r="N58" t="s">
        <v>274</v>
      </c>
      <c r="O58" t="str">
        <f t="shared" ref="O58" si="57">SUBSTITUTE(REPLACE(N58,1,1,"〇"),MID(N58,LEN(N58)-1,1),"〇")</f>
        <v>〇ワノ ト〇キ</v>
      </c>
      <c r="P58" t="s">
        <v>41</v>
      </c>
      <c r="Q58" s="7">
        <v>41572</v>
      </c>
      <c r="R58" s="7">
        <v>44327</v>
      </c>
      <c r="S58" t="s">
        <v>42</v>
      </c>
      <c r="T58" t="s">
        <v>42</v>
      </c>
      <c r="U58" t="s">
        <v>42</v>
      </c>
      <c r="V58" t="s">
        <v>42</v>
      </c>
      <c r="W58">
        <v>1</v>
      </c>
      <c r="X58">
        <v>4600</v>
      </c>
      <c r="Y58" t="s">
        <v>44</v>
      </c>
      <c r="Z58" t="s">
        <v>43</v>
      </c>
      <c r="AA58">
        <v>14</v>
      </c>
      <c r="AB58" s="7">
        <v>45627</v>
      </c>
      <c r="AD58" t="s">
        <v>44</v>
      </c>
      <c r="AE58" t="s">
        <v>43</v>
      </c>
      <c r="AF58">
        <v>4</v>
      </c>
      <c r="AG58" s="7">
        <v>45627</v>
      </c>
      <c r="AI58" t="s">
        <v>50</v>
      </c>
    </row>
    <row r="59" spans="1:35">
      <c r="A59" t="s">
        <v>275</v>
      </c>
      <c r="B59" t="str">
        <f t="shared" si="0"/>
        <v>〇西〇恵</v>
      </c>
      <c r="C59" t="s">
        <v>276</v>
      </c>
      <c r="D59" t="str">
        <f t="shared" si="0"/>
        <v>〇カニシ メ〇ミ</v>
      </c>
      <c r="E59" t="s">
        <v>37</v>
      </c>
      <c r="F59">
        <v>272070</v>
      </c>
      <c r="G59" t="s">
        <v>38</v>
      </c>
      <c r="H59">
        <v>8551025888</v>
      </c>
      <c r="J59" s="7">
        <v>45627</v>
      </c>
      <c r="K59" s="7">
        <v>45991</v>
      </c>
      <c r="L59" t="s">
        <v>277</v>
      </c>
      <c r="M59" t="str">
        <f t="shared" si="1"/>
        <v>〇西 〇偉</v>
      </c>
      <c r="N59" t="s">
        <v>278</v>
      </c>
      <c r="O59" t="str">
        <f t="shared" ref="O59" si="58">SUBSTITUTE(REPLACE(N59,1,1,"〇"),MID(N59,LEN(N59)-1,1),"〇")</f>
        <v>〇カニシ 〇イ</v>
      </c>
      <c r="P59" t="s">
        <v>41</v>
      </c>
      <c r="Q59" s="7">
        <v>42278</v>
      </c>
      <c r="R59" s="7">
        <v>44652</v>
      </c>
      <c r="S59" t="s">
        <v>42</v>
      </c>
      <c r="T59" t="s">
        <v>42</v>
      </c>
      <c r="U59" t="s">
        <v>42</v>
      </c>
      <c r="V59" t="s">
        <v>42</v>
      </c>
      <c r="W59">
        <v>1</v>
      </c>
      <c r="X59">
        <v>37200</v>
      </c>
      <c r="Z59" t="s">
        <v>43</v>
      </c>
      <c r="AA59">
        <v>10</v>
      </c>
      <c r="AB59" s="7">
        <v>45627</v>
      </c>
      <c r="AD59" t="s">
        <v>44</v>
      </c>
      <c r="AE59" t="s">
        <v>43</v>
      </c>
      <c r="AF59">
        <v>5</v>
      </c>
      <c r="AG59" s="7">
        <v>45627</v>
      </c>
    </row>
    <row r="60" spans="1:35">
      <c r="A60" t="s">
        <v>279</v>
      </c>
      <c r="B60" t="str">
        <f t="shared" si="0"/>
        <v>〇村 〇里</v>
      </c>
      <c r="C60" t="s">
        <v>280</v>
      </c>
      <c r="D60" t="str">
        <f t="shared" si="0"/>
        <v>〇カムラ 〇リ</v>
      </c>
      <c r="E60" t="s">
        <v>37</v>
      </c>
      <c r="F60">
        <v>272070</v>
      </c>
      <c r="G60" t="s">
        <v>38</v>
      </c>
      <c r="H60">
        <v>3100013873</v>
      </c>
      <c r="J60" s="7">
        <v>45627</v>
      </c>
      <c r="K60" s="7">
        <v>45991</v>
      </c>
      <c r="L60" t="s">
        <v>281</v>
      </c>
      <c r="M60" t="str">
        <f t="shared" si="1"/>
        <v>〇村 〇輝</v>
      </c>
      <c r="N60" t="s">
        <v>282</v>
      </c>
      <c r="O60" t="str">
        <f t="shared" ref="O60" si="59">SUBSTITUTE(REPLACE(N60,1,1,"〇"),MID(N60,LEN(N60)-1,1),"〇")</f>
        <v>〇カムラ タ〇キ</v>
      </c>
      <c r="P60" t="s">
        <v>41</v>
      </c>
      <c r="Q60" s="7">
        <v>39728</v>
      </c>
      <c r="R60" s="7">
        <v>45474</v>
      </c>
      <c r="S60" t="s">
        <v>42</v>
      </c>
      <c r="T60" t="s">
        <v>42</v>
      </c>
      <c r="U60" t="s">
        <v>42</v>
      </c>
      <c r="V60" t="s">
        <v>42</v>
      </c>
      <c r="W60">
        <v>1</v>
      </c>
      <c r="X60">
        <v>4600</v>
      </c>
      <c r="Z60" t="s">
        <v>43</v>
      </c>
      <c r="AA60">
        <v>10</v>
      </c>
      <c r="AB60" s="7">
        <v>45627</v>
      </c>
      <c r="AD60" t="s">
        <v>44</v>
      </c>
      <c r="AE60" t="s">
        <v>43</v>
      </c>
      <c r="AF60">
        <v>4</v>
      </c>
      <c r="AG60" s="7">
        <v>45627</v>
      </c>
      <c r="AI60" t="s">
        <v>222</v>
      </c>
    </row>
    <row r="61" spans="1:35">
      <c r="A61" t="s">
        <v>200</v>
      </c>
      <c r="B61" t="str">
        <f t="shared" si="0"/>
        <v>〇村 〇代</v>
      </c>
      <c r="C61" t="s">
        <v>201</v>
      </c>
      <c r="D61" t="str">
        <f t="shared" si="0"/>
        <v>〇ツムラ タ〇ヨ</v>
      </c>
      <c r="E61" t="s">
        <v>37</v>
      </c>
      <c r="F61">
        <v>272070</v>
      </c>
      <c r="G61" t="s">
        <v>38</v>
      </c>
      <c r="H61">
        <v>8551056768</v>
      </c>
      <c r="I61" s="7">
        <v>45610</v>
      </c>
      <c r="J61" s="7">
        <v>45627</v>
      </c>
      <c r="K61" s="7">
        <v>45991</v>
      </c>
      <c r="L61" t="s">
        <v>283</v>
      </c>
      <c r="M61" t="str">
        <f t="shared" si="1"/>
        <v>〇村 〇道</v>
      </c>
      <c r="N61" t="s">
        <v>284</v>
      </c>
      <c r="O61" t="str">
        <f t="shared" ref="O61" si="60">SUBSTITUTE(REPLACE(N61,1,1,"〇"),MID(N61,LEN(N61)-1,1),"〇")</f>
        <v>〇ツムラ ハル〇チ</v>
      </c>
      <c r="P61" t="s">
        <v>41</v>
      </c>
      <c r="Q61" s="7">
        <v>40470</v>
      </c>
      <c r="R61" s="7">
        <v>44959</v>
      </c>
      <c r="S61" t="s">
        <v>42</v>
      </c>
      <c r="T61" t="s">
        <v>75</v>
      </c>
      <c r="U61" t="s">
        <v>42</v>
      </c>
      <c r="V61" t="s">
        <v>42</v>
      </c>
      <c r="W61">
        <v>1</v>
      </c>
      <c r="X61">
        <v>37200</v>
      </c>
      <c r="Z61" t="s">
        <v>43</v>
      </c>
      <c r="AA61">
        <v>10</v>
      </c>
      <c r="AB61" s="7">
        <v>45627</v>
      </c>
      <c r="AD61" t="s">
        <v>44</v>
      </c>
      <c r="AE61" t="s">
        <v>43</v>
      </c>
      <c r="AF61">
        <v>1</v>
      </c>
      <c r="AG61" s="7">
        <v>45627</v>
      </c>
    </row>
    <row r="62" spans="1:35">
      <c r="A62" t="s">
        <v>285</v>
      </c>
      <c r="B62" t="str">
        <f t="shared" si="0"/>
        <v>〇浦 〇美</v>
      </c>
      <c r="C62" t="s">
        <v>286</v>
      </c>
      <c r="D62" t="str">
        <f t="shared" si="0"/>
        <v>〇ウラ ア〇ミ</v>
      </c>
      <c r="E62" t="s">
        <v>37</v>
      </c>
      <c r="F62">
        <v>272070</v>
      </c>
      <c r="G62" t="s">
        <v>38</v>
      </c>
      <c r="H62">
        <v>8551025110</v>
      </c>
      <c r="J62" s="7">
        <v>45627</v>
      </c>
      <c r="K62" s="7">
        <v>45991</v>
      </c>
      <c r="L62" t="s">
        <v>287</v>
      </c>
      <c r="M62" t="str">
        <f t="shared" si="1"/>
        <v>〇浦 峻〇朗</v>
      </c>
      <c r="N62" t="s">
        <v>288</v>
      </c>
      <c r="O62" t="str">
        <f t="shared" ref="O62" si="61">SUBSTITUTE(REPLACE(N62,1,1,"〇"),MID(N62,LEN(N62)-1,1),"〇")</f>
        <v>〇ウラ シュンジ〇ウ</v>
      </c>
      <c r="P62" t="s">
        <v>41</v>
      </c>
      <c r="Q62" s="7">
        <v>41938</v>
      </c>
      <c r="R62" s="7">
        <v>45725</v>
      </c>
      <c r="S62" t="s">
        <v>42</v>
      </c>
      <c r="T62" t="s">
        <v>42</v>
      </c>
      <c r="U62" t="s">
        <v>42</v>
      </c>
      <c r="V62" t="s">
        <v>42</v>
      </c>
      <c r="W62">
        <v>1</v>
      </c>
      <c r="X62">
        <v>37200</v>
      </c>
      <c r="Z62" t="s">
        <v>43</v>
      </c>
      <c r="AA62">
        <v>10</v>
      </c>
      <c r="AB62" s="7">
        <v>45627</v>
      </c>
      <c r="AD62" t="s">
        <v>44</v>
      </c>
      <c r="AE62" t="s">
        <v>43</v>
      </c>
      <c r="AF62">
        <v>5</v>
      </c>
      <c r="AG62" s="7">
        <v>45725</v>
      </c>
      <c r="AI62" t="s">
        <v>142</v>
      </c>
    </row>
    <row r="63" spans="1:35">
      <c r="A63" t="s">
        <v>289</v>
      </c>
      <c r="B63" t="str">
        <f t="shared" si="0"/>
        <v>〇 眞〇枝</v>
      </c>
      <c r="C63" t="s">
        <v>290</v>
      </c>
      <c r="D63" t="str">
        <f t="shared" si="0"/>
        <v>〇ミ マ〇エ</v>
      </c>
      <c r="E63" t="s">
        <v>37</v>
      </c>
      <c r="F63">
        <v>272070</v>
      </c>
      <c r="G63" t="s">
        <v>38</v>
      </c>
      <c r="H63">
        <v>8551027348</v>
      </c>
      <c r="J63" s="7">
        <v>45642</v>
      </c>
      <c r="K63" s="7">
        <v>46022</v>
      </c>
      <c r="L63" t="s">
        <v>291</v>
      </c>
      <c r="M63" t="str">
        <f t="shared" si="1"/>
        <v>〇 〇樹</v>
      </c>
      <c r="N63" t="s">
        <v>292</v>
      </c>
      <c r="O63" t="str">
        <f t="shared" ref="O63" si="62">SUBSTITUTE(REPLACE(N63,1,1,"〇"),MID(N63,LEN(N63)-1,1),"〇")</f>
        <v>〇ミ ト〇キ</v>
      </c>
      <c r="P63" t="s">
        <v>41</v>
      </c>
      <c r="Q63" s="7">
        <v>41581</v>
      </c>
      <c r="R63" s="7">
        <v>45599</v>
      </c>
      <c r="S63" t="s">
        <v>42</v>
      </c>
      <c r="T63" t="s">
        <v>42</v>
      </c>
      <c r="U63" t="s">
        <v>42</v>
      </c>
      <c r="V63" t="s">
        <v>42</v>
      </c>
      <c r="W63">
        <v>1</v>
      </c>
      <c r="X63">
        <v>4600</v>
      </c>
      <c r="Z63" t="s">
        <v>43</v>
      </c>
      <c r="AA63">
        <v>10</v>
      </c>
      <c r="AB63" s="7">
        <v>45642</v>
      </c>
      <c r="AD63" t="s">
        <v>44</v>
      </c>
      <c r="AE63" t="s">
        <v>43</v>
      </c>
      <c r="AF63">
        <v>5</v>
      </c>
      <c r="AG63" s="7">
        <v>45642</v>
      </c>
    </row>
    <row r="64" spans="1:35">
      <c r="A64" t="s">
        <v>293</v>
      </c>
      <c r="B64" t="str">
        <f t="shared" si="0"/>
        <v>〇藤 麻〇子</v>
      </c>
      <c r="C64" t="s">
        <v>294</v>
      </c>
      <c r="D64" t="str">
        <f t="shared" si="0"/>
        <v>〇トウ マ〇コ</v>
      </c>
      <c r="E64" t="s">
        <v>37</v>
      </c>
      <c r="F64">
        <v>272070</v>
      </c>
      <c r="G64" t="s">
        <v>38</v>
      </c>
      <c r="H64">
        <v>8551011714</v>
      </c>
      <c r="J64" s="7">
        <v>45658</v>
      </c>
      <c r="K64" s="7">
        <v>46022</v>
      </c>
      <c r="L64" t="s">
        <v>295</v>
      </c>
      <c r="M64" t="str">
        <f t="shared" si="1"/>
        <v>〇藤 実〇里</v>
      </c>
      <c r="N64" t="s">
        <v>296</v>
      </c>
      <c r="O64" t="str">
        <f t="shared" ref="O64" si="63">SUBSTITUTE(REPLACE(N64,1,1,"〇"),MID(N64,LEN(N64)-1,1),"〇")</f>
        <v>〇トウ ミ〇リ</v>
      </c>
      <c r="P64" t="s">
        <v>98</v>
      </c>
      <c r="Q64" s="7">
        <v>41243</v>
      </c>
      <c r="R64" s="7">
        <v>45748</v>
      </c>
      <c r="S64" t="s">
        <v>42</v>
      </c>
      <c r="T64" t="s">
        <v>42</v>
      </c>
      <c r="U64" t="s">
        <v>42</v>
      </c>
      <c r="V64" t="s">
        <v>42</v>
      </c>
      <c r="W64">
        <v>1</v>
      </c>
      <c r="X64">
        <v>4600</v>
      </c>
      <c r="Z64" t="s">
        <v>43</v>
      </c>
      <c r="AA64">
        <v>10</v>
      </c>
      <c r="AB64" s="7">
        <v>45658</v>
      </c>
      <c r="AD64" t="s">
        <v>44</v>
      </c>
      <c r="AE64" t="s">
        <v>43</v>
      </c>
      <c r="AF64">
        <v>5</v>
      </c>
      <c r="AG64" s="7">
        <v>45725</v>
      </c>
    </row>
    <row r="65" spans="1:35">
      <c r="A65" t="s">
        <v>297</v>
      </c>
      <c r="B65" t="str">
        <f t="shared" si="0"/>
        <v>〇前 葉〇香</v>
      </c>
      <c r="C65" t="s">
        <v>298</v>
      </c>
      <c r="D65" t="str">
        <f t="shared" si="0"/>
        <v>〇ウザキ ハ〇カ</v>
      </c>
      <c r="E65" t="s">
        <v>37</v>
      </c>
      <c r="F65">
        <v>272070</v>
      </c>
      <c r="G65" t="s">
        <v>38</v>
      </c>
      <c r="H65">
        <v>8551059523</v>
      </c>
      <c r="I65" s="7">
        <v>45268</v>
      </c>
      <c r="J65" s="7">
        <v>45658</v>
      </c>
      <c r="K65" s="7">
        <v>46022</v>
      </c>
      <c r="L65" t="s">
        <v>299</v>
      </c>
      <c r="M65" t="str">
        <f t="shared" si="1"/>
        <v>〇前 〇伎</v>
      </c>
      <c r="N65" t="s">
        <v>300</v>
      </c>
      <c r="O65" t="str">
        <f t="shared" ref="O65" si="64">SUBSTITUTE(REPLACE(N65,1,1,"〇"),MID(N65,LEN(N65)-1,1),"〇")</f>
        <v>〇ウザキ 〇キ</v>
      </c>
      <c r="P65" t="s">
        <v>41</v>
      </c>
      <c r="Q65" s="7">
        <v>42327</v>
      </c>
      <c r="R65" s="7">
        <v>45017</v>
      </c>
      <c r="S65" t="s">
        <v>42</v>
      </c>
      <c r="T65" t="s">
        <v>42</v>
      </c>
      <c r="U65" t="s">
        <v>42</v>
      </c>
      <c r="V65" t="s">
        <v>42</v>
      </c>
      <c r="W65">
        <v>1</v>
      </c>
      <c r="X65">
        <v>4600</v>
      </c>
      <c r="Y65" t="s">
        <v>301</v>
      </c>
      <c r="Z65" t="s">
        <v>43</v>
      </c>
      <c r="AA65">
        <v>14</v>
      </c>
      <c r="AB65" s="7">
        <v>45658</v>
      </c>
      <c r="AD65" t="s">
        <v>44</v>
      </c>
      <c r="AE65" t="s">
        <v>43</v>
      </c>
      <c r="AF65">
        <v>5</v>
      </c>
      <c r="AG65" s="7">
        <v>45658</v>
      </c>
    </row>
    <row r="66" spans="1:35">
      <c r="A66" t="s">
        <v>302</v>
      </c>
      <c r="B66" t="str">
        <f t="shared" ref="B66:B113" si="65">SUBSTITUTE(REPLACE(A66,1,1,"〇"),MID(A66,LEN(A66)-1,1),"〇")</f>
        <v>〇水〇宰</v>
      </c>
      <c r="C66" t="s">
        <v>303</v>
      </c>
      <c r="D66" t="str">
        <f t="shared" ref="D66:D113" si="66">SUBSTITUTE(REPLACE(C66,1,1,"〇"),MID(C66,LEN(C66)-1,1),"〇")</f>
        <v>〇ミズ ツ〇サ</v>
      </c>
      <c r="E66" t="s">
        <v>37</v>
      </c>
      <c r="F66">
        <v>272112</v>
      </c>
      <c r="G66" t="s">
        <v>126</v>
      </c>
      <c r="H66">
        <v>5000018944</v>
      </c>
      <c r="J66" s="7">
        <v>45658</v>
      </c>
      <c r="K66" s="7">
        <v>46022</v>
      </c>
      <c r="L66" t="s">
        <v>304</v>
      </c>
      <c r="M66" t="str">
        <f t="shared" ref="M66:M113" si="67">SUBSTITUTE(REPLACE(L66,1,1,"〇"),MID(L66,LEN(L66)-1,1),"〇")</f>
        <v>〇水〇悠</v>
      </c>
      <c r="N66" t="s">
        <v>305</v>
      </c>
      <c r="O66" t="str">
        <f t="shared" ref="O66" si="68">SUBSTITUTE(REPLACE(N66,1,1,"〇"),MID(N66,LEN(N66)-1,1),"〇")</f>
        <v>〇ミズ ハ〇カ</v>
      </c>
      <c r="P66" t="s">
        <v>41</v>
      </c>
      <c r="Q66" s="7">
        <v>41271</v>
      </c>
      <c r="R66" s="7">
        <v>45748</v>
      </c>
      <c r="S66" t="s">
        <v>42</v>
      </c>
      <c r="T66" t="s">
        <v>42</v>
      </c>
      <c r="U66" t="s">
        <v>42</v>
      </c>
      <c r="V66" t="s">
        <v>42</v>
      </c>
      <c r="W66">
        <v>1</v>
      </c>
      <c r="X66">
        <v>4600</v>
      </c>
      <c r="Y66" t="s">
        <v>306</v>
      </c>
      <c r="Z66" t="s">
        <v>43</v>
      </c>
      <c r="AA66">
        <v>14</v>
      </c>
      <c r="AB66" s="7">
        <v>45658</v>
      </c>
      <c r="AD66" t="s">
        <v>44</v>
      </c>
      <c r="AE66" t="s">
        <v>43</v>
      </c>
      <c r="AF66">
        <v>5</v>
      </c>
      <c r="AG66" s="7">
        <v>45725</v>
      </c>
    </row>
    <row r="67" spans="1:35">
      <c r="A67" t="s">
        <v>307</v>
      </c>
      <c r="B67" t="str">
        <f t="shared" si="65"/>
        <v>〇山 〇菜</v>
      </c>
      <c r="C67" t="s">
        <v>308</v>
      </c>
      <c r="D67" t="str">
        <f t="shared" si="66"/>
        <v>〇ケヤマ ア〇ナ</v>
      </c>
      <c r="E67" t="s">
        <v>37</v>
      </c>
      <c r="F67">
        <v>272070</v>
      </c>
      <c r="G67" t="s">
        <v>38</v>
      </c>
      <c r="H67">
        <v>8551005179</v>
      </c>
      <c r="J67" s="7">
        <v>45658</v>
      </c>
      <c r="K67" s="7">
        <v>46022</v>
      </c>
      <c r="L67" t="s">
        <v>309</v>
      </c>
      <c r="M67" t="str">
        <f t="shared" si="67"/>
        <v>〇山 紘〇朗</v>
      </c>
      <c r="N67" t="s">
        <v>310</v>
      </c>
      <c r="O67" t="str">
        <f t="shared" ref="O67" si="69">SUBSTITUTE(REPLACE(N67,1,1,"〇"),MID(N67,LEN(N67)-1,1),"〇")</f>
        <v>〇ケヤマ コウタ〇ウ</v>
      </c>
      <c r="P67" t="s">
        <v>41</v>
      </c>
      <c r="Q67" s="7">
        <v>40493</v>
      </c>
      <c r="R67" s="7">
        <v>43893</v>
      </c>
      <c r="S67" t="s">
        <v>42</v>
      </c>
      <c r="T67" t="s">
        <v>75</v>
      </c>
      <c r="U67" t="s">
        <v>42</v>
      </c>
      <c r="V67" t="s">
        <v>42</v>
      </c>
      <c r="W67">
        <v>1</v>
      </c>
      <c r="X67">
        <v>4600</v>
      </c>
      <c r="Z67" t="s">
        <v>43</v>
      </c>
      <c r="AA67">
        <v>18</v>
      </c>
      <c r="AB67" s="7">
        <v>45658</v>
      </c>
      <c r="AD67" t="s">
        <v>44</v>
      </c>
      <c r="AE67" t="s">
        <v>43</v>
      </c>
      <c r="AF67">
        <v>10</v>
      </c>
      <c r="AG67" s="7">
        <v>45658</v>
      </c>
      <c r="AI67" t="s">
        <v>103</v>
      </c>
    </row>
    <row r="68" spans="1:35">
      <c r="A68" t="s">
        <v>311</v>
      </c>
      <c r="B68" t="str">
        <f t="shared" si="65"/>
        <v>〇木 早〇合</v>
      </c>
      <c r="C68" t="s">
        <v>312</v>
      </c>
      <c r="D68" t="str">
        <f t="shared" si="66"/>
        <v>〇ルキ サ〇リ</v>
      </c>
      <c r="E68" t="s">
        <v>37</v>
      </c>
      <c r="F68">
        <v>272070</v>
      </c>
      <c r="G68" t="s">
        <v>38</v>
      </c>
      <c r="H68">
        <v>8551013678</v>
      </c>
      <c r="I68" s="7">
        <v>45630</v>
      </c>
      <c r="J68" s="7">
        <v>45658</v>
      </c>
      <c r="K68" s="7">
        <v>46022</v>
      </c>
      <c r="L68" t="s">
        <v>313</v>
      </c>
      <c r="M68" t="str">
        <f t="shared" si="67"/>
        <v>〇木 〇汰</v>
      </c>
      <c r="N68" t="s">
        <v>314</v>
      </c>
      <c r="O68" t="str">
        <f t="shared" ref="O68" si="70">SUBSTITUTE(REPLACE(N68,1,1,"〇"),MID(N68,LEN(N68)-1,1),"〇")</f>
        <v>〇ルキ リヨ〇タ</v>
      </c>
      <c r="P68" t="s">
        <v>41</v>
      </c>
      <c r="Q68" s="7">
        <v>40485</v>
      </c>
      <c r="R68" s="7">
        <v>43886</v>
      </c>
      <c r="S68" t="s">
        <v>42</v>
      </c>
      <c r="T68" t="s">
        <v>42</v>
      </c>
      <c r="U68" t="s">
        <v>42</v>
      </c>
      <c r="V68" t="s">
        <v>42</v>
      </c>
      <c r="W68">
        <v>1</v>
      </c>
      <c r="X68">
        <v>4600</v>
      </c>
      <c r="Z68" t="s">
        <v>43</v>
      </c>
      <c r="AA68">
        <v>10</v>
      </c>
      <c r="AB68" s="7">
        <v>45658</v>
      </c>
      <c r="AD68" t="s">
        <v>44</v>
      </c>
      <c r="AE68" t="s">
        <v>43</v>
      </c>
      <c r="AF68">
        <v>5</v>
      </c>
      <c r="AG68" s="7">
        <v>45658</v>
      </c>
    </row>
    <row r="69" spans="1:35">
      <c r="A69" t="s">
        <v>315</v>
      </c>
      <c r="B69" t="str">
        <f t="shared" si="65"/>
        <v>〇井 〇江</v>
      </c>
      <c r="C69" t="s">
        <v>316</v>
      </c>
      <c r="D69" t="str">
        <f t="shared" si="66"/>
        <v>〇ナイ ハ〇エ</v>
      </c>
      <c r="E69" t="s">
        <v>37</v>
      </c>
      <c r="F69">
        <v>272070</v>
      </c>
      <c r="G69" t="s">
        <v>38</v>
      </c>
      <c r="H69">
        <v>8551017950</v>
      </c>
      <c r="I69" s="7">
        <v>46015</v>
      </c>
      <c r="J69" s="7">
        <v>45658</v>
      </c>
      <c r="K69" s="7">
        <v>46022</v>
      </c>
      <c r="L69" t="s">
        <v>317</v>
      </c>
      <c r="M69" t="str">
        <f t="shared" si="67"/>
        <v>〇井 〇磨</v>
      </c>
      <c r="N69" t="s">
        <v>318</v>
      </c>
      <c r="O69" t="str">
        <f t="shared" ref="O69" si="71">SUBSTITUTE(REPLACE(N69,1,1,"〇"),MID(N69,LEN(N69)-1,1),"〇")</f>
        <v>〇ナイ タ〇マ</v>
      </c>
      <c r="P69" t="s">
        <v>41</v>
      </c>
      <c r="Q69" s="7">
        <v>41233</v>
      </c>
      <c r="R69" s="7">
        <v>44310</v>
      </c>
      <c r="S69" t="s">
        <v>42</v>
      </c>
      <c r="T69" t="s">
        <v>42</v>
      </c>
      <c r="U69" t="s">
        <v>42</v>
      </c>
      <c r="V69" t="s">
        <v>42</v>
      </c>
      <c r="W69">
        <v>1</v>
      </c>
      <c r="X69">
        <v>4600</v>
      </c>
      <c r="Y69" t="s">
        <v>44</v>
      </c>
      <c r="Z69" t="s">
        <v>43</v>
      </c>
      <c r="AA69">
        <v>18</v>
      </c>
      <c r="AB69" s="7">
        <v>45658</v>
      </c>
      <c r="AD69" t="s">
        <v>44</v>
      </c>
      <c r="AE69" t="s">
        <v>43</v>
      </c>
      <c r="AF69">
        <v>5</v>
      </c>
      <c r="AG69" s="7">
        <v>45658</v>
      </c>
      <c r="AI69" t="s">
        <v>142</v>
      </c>
    </row>
    <row r="70" spans="1:35">
      <c r="A70" t="s">
        <v>319</v>
      </c>
      <c r="B70" t="str">
        <f t="shared" si="65"/>
        <v>〇井 〇子</v>
      </c>
      <c r="C70" t="s">
        <v>320</v>
      </c>
      <c r="D70" t="str">
        <f t="shared" si="66"/>
        <v>〇ツイ ユ〇コ</v>
      </c>
      <c r="E70" t="s">
        <v>37</v>
      </c>
      <c r="F70">
        <v>272070</v>
      </c>
      <c r="G70" t="s">
        <v>38</v>
      </c>
      <c r="H70">
        <v>8551024022</v>
      </c>
      <c r="J70" s="7">
        <v>45663</v>
      </c>
      <c r="K70" s="7">
        <v>46022</v>
      </c>
      <c r="L70" t="s">
        <v>321</v>
      </c>
      <c r="M70" t="str">
        <f t="shared" si="67"/>
        <v>〇井 〇弥</v>
      </c>
      <c r="N70" t="s">
        <v>322</v>
      </c>
      <c r="O70" t="str">
        <f t="shared" ref="O70" si="72">SUBSTITUTE(REPLACE(N70,1,1,"〇"),MID(N70,LEN(N70)-1,1),"〇")</f>
        <v>〇ツイ リョ〇ヤ</v>
      </c>
      <c r="P70" t="s">
        <v>41</v>
      </c>
      <c r="Q70" s="7">
        <v>42324</v>
      </c>
      <c r="R70" s="7">
        <v>45748</v>
      </c>
      <c r="S70" t="s">
        <v>42</v>
      </c>
      <c r="T70" t="s">
        <v>42</v>
      </c>
      <c r="U70" t="s">
        <v>42</v>
      </c>
      <c r="V70" t="s">
        <v>42</v>
      </c>
      <c r="W70">
        <v>1</v>
      </c>
      <c r="X70">
        <v>0</v>
      </c>
      <c r="Z70" t="s">
        <v>43</v>
      </c>
      <c r="AA70">
        <v>23</v>
      </c>
      <c r="AB70" s="7">
        <v>45663</v>
      </c>
      <c r="AD70" t="s">
        <v>44</v>
      </c>
      <c r="AE70" t="s">
        <v>43</v>
      </c>
      <c r="AF70">
        <v>5</v>
      </c>
      <c r="AG70" s="7">
        <v>45725</v>
      </c>
      <c r="AI70" t="s">
        <v>80</v>
      </c>
    </row>
    <row r="71" spans="1:35">
      <c r="A71" t="s">
        <v>323</v>
      </c>
      <c r="B71" t="str">
        <f t="shared" si="65"/>
        <v>〇原 由〇子</v>
      </c>
      <c r="C71" t="s">
        <v>324</v>
      </c>
      <c r="D71" t="str">
        <f t="shared" si="66"/>
        <v>〇シハラ ユ〇コ</v>
      </c>
      <c r="E71" t="s">
        <v>37</v>
      </c>
      <c r="F71">
        <v>272070</v>
      </c>
      <c r="G71" t="s">
        <v>38</v>
      </c>
      <c r="H71">
        <v>8551027173</v>
      </c>
      <c r="I71" s="7">
        <v>45301</v>
      </c>
      <c r="J71" s="7">
        <v>45689</v>
      </c>
      <c r="K71" s="7">
        <v>46053</v>
      </c>
      <c r="L71" t="s">
        <v>325</v>
      </c>
      <c r="M71" t="str">
        <f t="shared" si="67"/>
        <v>〇原 〇晴</v>
      </c>
      <c r="N71" t="s">
        <v>326</v>
      </c>
      <c r="O71" t="str">
        <f t="shared" ref="O71" si="73">SUBSTITUTE(REPLACE(N71,1,1,"〇"),MID(N71,LEN(N71)-1,1),"〇")</f>
        <v>〇シハラ ユウ〇イ</v>
      </c>
      <c r="P71" t="s">
        <v>41</v>
      </c>
      <c r="Q71" s="7">
        <v>42353</v>
      </c>
      <c r="R71" s="7">
        <v>44679</v>
      </c>
      <c r="S71" t="s">
        <v>42</v>
      </c>
      <c r="T71" t="s">
        <v>42</v>
      </c>
      <c r="U71" t="s">
        <v>42</v>
      </c>
      <c r="V71" t="s">
        <v>42</v>
      </c>
      <c r="W71">
        <v>1</v>
      </c>
      <c r="X71">
        <v>4600</v>
      </c>
      <c r="Y71" t="s">
        <v>44</v>
      </c>
      <c r="Z71" t="s">
        <v>43</v>
      </c>
      <c r="AA71">
        <v>14</v>
      </c>
      <c r="AB71" s="7">
        <v>45689</v>
      </c>
      <c r="AD71" t="s">
        <v>44</v>
      </c>
      <c r="AE71" t="s">
        <v>43</v>
      </c>
      <c r="AF71">
        <v>5</v>
      </c>
      <c r="AG71" s="7">
        <v>45689</v>
      </c>
    </row>
    <row r="72" spans="1:35">
      <c r="A72" t="s">
        <v>327</v>
      </c>
      <c r="B72" t="str">
        <f t="shared" si="65"/>
        <v>〇藤 〇菜</v>
      </c>
      <c r="C72" t="s">
        <v>328</v>
      </c>
      <c r="D72" t="str">
        <f t="shared" si="66"/>
        <v>〇トウ 〇ナ</v>
      </c>
      <c r="E72" t="s">
        <v>37</v>
      </c>
      <c r="F72">
        <v>272070</v>
      </c>
      <c r="G72" t="s">
        <v>38</v>
      </c>
      <c r="H72">
        <v>8551020079</v>
      </c>
      <c r="I72" s="7">
        <v>45301</v>
      </c>
      <c r="J72" s="7">
        <v>45689</v>
      </c>
      <c r="K72" s="7">
        <v>46053</v>
      </c>
      <c r="L72" t="s">
        <v>329</v>
      </c>
      <c r="M72" t="str">
        <f t="shared" si="67"/>
        <v>〇藤 〇向</v>
      </c>
      <c r="N72" t="s">
        <v>330</v>
      </c>
      <c r="O72" t="str">
        <f t="shared" ref="O72" si="74">SUBSTITUTE(REPLACE(N72,1,1,"〇"),MID(N72,LEN(N72)-1,1),"〇")</f>
        <v>〇トウ カ〇タ</v>
      </c>
      <c r="P72" t="s">
        <v>41</v>
      </c>
      <c r="Q72" s="7">
        <v>41977</v>
      </c>
      <c r="R72" s="7">
        <v>44744</v>
      </c>
      <c r="S72" t="s">
        <v>42</v>
      </c>
      <c r="T72" t="s">
        <v>42</v>
      </c>
      <c r="U72" t="s">
        <v>42</v>
      </c>
      <c r="V72" t="s">
        <v>42</v>
      </c>
      <c r="W72">
        <v>1</v>
      </c>
      <c r="X72">
        <v>4600</v>
      </c>
      <c r="Z72" t="s">
        <v>43</v>
      </c>
      <c r="AA72">
        <v>10</v>
      </c>
      <c r="AB72" s="7">
        <v>45689</v>
      </c>
      <c r="AD72" t="s">
        <v>44</v>
      </c>
      <c r="AE72" t="s">
        <v>43</v>
      </c>
      <c r="AF72">
        <v>5</v>
      </c>
      <c r="AG72" s="7">
        <v>45689</v>
      </c>
    </row>
    <row r="73" spans="1:35">
      <c r="A73" t="s">
        <v>331</v>
      </c>
      <c r="B73" t="str">
        <f t="shared" si="65"/>
        <v>〇西 〇佳</v>
      </c>
      <c r="C73" t="s">
        <v>332</v>
      </c>
      <c r="D73" t="str">
        <f t="shared" si="66"/>
        <v>〇マニシ 〇カ</v>
      </c>
      <c r="E73" t="s">
        <v>37</v>
      </c>
      <c r="F73">
        <v>272070</v>
      </c>
      <c r="G73" t="s">
        <v>38</v>
      </c>
      <c r="H73">
        <v>8551014809</v>
      </c>
      <c r="J73" s="7">
        <v>45689</v>
      </c>
      <c r="K73" s="7">
        <v>46053</v>
      </c>
      <c r="L73" t="s">
        <v>333</v>
      </c>
      <c r="M73" t="str">
        <f t="shared" si="67"/>
        <v>〇西 〇生</v>
      </c>
      <c r="N73" t="s">
        <v>334</v>
      </c>
      <c r="O73" t="str">
        <f t="shared" ref="O73" si="75">SUBSTITUTE(REPLACE(N73,1,1,"〇"),MID(N73,LEN(N73)-1,1),"〇")</f>
        <v>〇マニシ 〇イ</v>
      </c>
      <c r="P73" t="s">
        <v>98</v>
      </c>
      <c r="Q73" s="7">
        <v>40887</v>
      </c>
      <c r="R73" s="7">
        <v>45748</v>
      </c>
      <c r="S73" t="s">
        <v>42</v>
      </c>
      <c r="T73" t="s">
        <v>42</v>
      </c>
      <c r="U73" t="s">
        <v>42</v>
      </c>
      <c r="V73" t="s">
        <v>42</v>
      </c>
      <c r="W73">
        <v>1</v>
      </c>
      <c r="X73">
        <v>4600</v>
      </c>
      <c r="Z73" t="s">
        <v>43</v>
      </c>
      <c r="AA73">
        <v>14</v>
      </c>
      <c r="AB73" s="7">
        <v>45689</v>
      </c>
      <c r="AD73" t="s">
        <v>44</v>
      </c>
      <c r="AE73" t="s">
        <v>43</v>
      </c>
      <c r="AF73">
        <v>5</v>
      </c>
      <c r="AG73" s="7">
        <v>45725</v>
      </c>
      <c r="AI73" t="s">
        <v>50</v>
      </c>
    </row>
    <row r="74" spans="1:35">
      <c r="A74" t="s">
        <v>335</v>
      </c>
      <c r="B74" t="str">
        <f t="shared" si="65"/>
        <v>〇浦 〇美</v>
      </c>
      <c r="C74" t="s">
        <v>336</v>
      </c>
      <c r="D74" t="str">
        <f t="shared" si="66"/>
        <v>〇エウラ ト〇ミ</v>
      </c>
      <c r="E74" t="s">
        <v>37</v>
      </c>
      <c r="F74">
        <v>272070</v>
      </c>
      <c r="G74" t="s">
        <v>38</v>
      </c>
      <c r="H74">
        <v>8551051462</v>
      </c>
      <c r="J74" s="7">
        <v>45689</v>
      </c>
      <c r="K74" s="7">
        <v>46053</v>
      </c>
      <c r="L74" t="s">
        <v>337</v>
      </c>
      <c r="M74" t="str">
        <f t="shared" si="67"/>
        <v>〇浦 〇貴</v>
      </c>
      <c r="N74" t="s">
        <v>338</v>
      </c>
      <c r="O74" t="str">
        <f t="shared" ref="O74" si="76">SUBSTITUTE(REPLACE(N74,1,1,"〇"),MID(N74,LEN(N74)-1,1),"〇")</f>
        <v>〇エウラ ヒ〇キ</v>
      </c>
      <c r="P74" t="s">
        <v>41</v>
      </c>
      <c r="Q74" s="7">
        <v>42362</v>
      </c>
      <c r="R74" s="7">
        <v>44989</v>
      </c>
      <c r="S74" t="s">
        <v>42</v>
      </c>
      <c r="T74" t="s">
        <v>75</v>
      </c>
      <c r="U74" t="s">
        <v>42</v>
      </c>
      <c r="V74" t="s">
        <v>42</v>
      </c>
      <c r="W74">
        <v>1</v>
      </c>
      <c r="X74">
        <v>4600</v>
      </c>
      <c r="Y74" t="s">
        <v>339</v>
      </c>
      <c r="Z74" t="s">
        <v>43</v>
      </c>
      <c r="AA74">
        <v>10</v>
      </c>
      <c r="AB74" s="7">
        <v>45689</v>
      </c>
      <c r="AD74" t="s">
        <v>44</v>
      </c>
      <c r="AE74" t="s">
        <v>43</v>
      </c>
      <c r="AF74">
        <v>5</v>
      </c>
      <c r="AG74" s="7">
        <v>45689</v>
      </c>
    </row>
    <row r="75" spans="1:35">
      <c r="A75" t="s">
        <v>340</v>
      </c>
      <c r="B75" t="str">
        <f t="shared" si="65"/>
        <v>〇藤 〇香</v>
      </c>
      <c r="C75" t="s">
        <v>341</v>
      </c>
      <c r="D75" t="str">
        <f t="shared" si="66"/>
        <v>〇ンドウ 〇カ</v>
      </c>
      <c r="E75" t="s">
        <v>37</v>
      </c>
      <c r="F75">
        <v>272070</v>
      </c>
      <c r="G75" t="s">
        <v>38</v>
      </c>
      <c r="H75">
        <v>8551031696</v>
      </c>
      <c r="J75" s="7">
        <v>45689</v>
      </c>
      <c r="K75" s="7">
        <v>46053</v>
      </c>
      <c r="L75" t="s">
        <v>342</v>
      </c>
      <c r="M75" t="str">
        <f t="shared" si="67"/>
        <v>〇藤 〇太</v>
      </c>
      <c r="N75" t="s">
        <v>343</v>
      </c>
      <c r="O75" t="str">
        <f t="shared" ref="O75" si="77">SUBSTITUTE(REPLACE(N75,1,1,"〇"),MID(N75,LEN(N75)-1,1),"〇")</f>
        <v>〇ンド〇 ソ〇タ</v>
      </c>
      <c r="P75" t="s">
        <v>41</v>
      </c>
      <c r="Q75" s="7">
        <v>43085</v>
      </c>
      <c r="R75" s="7">
        <v>45748</v>
      </c>
      <c r="S75" t="s">
        <v>42</v>
      </c>
      <c r="T75" t="s">
        <v>42</v>
      </c>
      <c r="U75" t="s">
        <v>42</v>
      </c>
      <c r="V75" t="s">
        <v>42</v>
      </c>
      <c r="W75">
        <v>1</v>
      </c>
      <c r="X75">
        <v>37200</v>
      </c>
      <c r="Z75" t="s">
        <v>43</v>
      </c>
      <c r="AA75">
        <v>10</v>
      </c>
      <c r="AB75" s="7">
        <v>45689</v>
      </c>
      <c r="AD75" t="s">
        <v>44</v>
      </c>
      <c r="AE75" t="s">
        <v>43</v>
      </c>
      <c r="AF75">
        <v>5</v>
      </c>
      <c r="AG75" s="7">
        <v>45689</v>
      </c>
    </row>
    <row r="76" spans="1:35">
      <c r="A76" t="s">
        <v>344</v>
      </c>
      <c r="B76" t="str">
        <f t="shared" si="65"/>
        <v>〇斐 〇理</v>
      </c>
      <c r="C76" t="s">
        <v>345</v>
      </c>
      <c r="D76" t="str">
        <f t="shared" si="66"/>
        <v>〇イ 〇リ</v>
      </c>
      <c r="E76" t="s">
        <v>37</v>
      </c>
      <c r="F76">
        <v>272070</v>
      </c>
      <c r="G76" t="s">
        <v>38</v>
      </c>
      <c r="H76">
        <v>8551017224</v>
      </c>
      <c r="J76" s="7">
        <v>45689</v>
      </c>
      <c r="K76" s="7">
        <v>46053</v>
      </c>
      <c r="L76" t="s">
        <v>346</v>
      </c>
      <c r="M76" t="str">
        <f t="shared" si="67"/>
        <v>〇斐 〇惺</v>
      </c>
      <c r="N76" t="s">
        <v>347</v>
      </c>
      <c r="O76" t="str">
        <f t="shared" ref="O76" si="78">SUBSTITUTE(REPLACE(N76,1,1,"〇"),MID(N76,LEN(N76)-1,1),"〇")</f>
        <v>〇イ ユウ〇イ</v>
      </c>
      <c r="P76" t="s">
        <v>41</v>
      </c>
      <c r="Q76" s="7">
        <v>40897</v>
      </c>
      <c r="R76" s="7">
        <v>45748</v>
      </c>
      <c r="S76" t="s">
        <v>42</v>
      </c>
      <c r="T76" t="s">
        <v>42</v>
      </c>
      <c r="U76" t="s">
        <v>42</v>
      </c>
      <c r="V76" t="s">
        <v>42</v>
      </c>
      <c r="W76">
        <v>1</v>
      </c>
      <c r="X76">
        <v>4600</v>
      </c>
      <c r="Y76" t="s">
        <v>44</v>
      </c>
      <c r="Z76" t="s">
        <v>43</v>
      </c>
      <c r="AA76">
        <v>10</v>
      </c>
      <c r="AB76" s="7">
        <v>45658</v>
      </c>
      <c r="AD76" t="s">
        <v>44</v>
      </c>
      <c r="AE76" t="s">
        <v>43</v>
      </c>
      <c r="AF76">
        <v>5</v>
      </c>
      <c r="AG76" s="7">
        <v>45725</v>
      </c>
    </row>
    <row r="77" spans="1:35">
      <c r="A77" t="s">
        <v>348</v>
      </c>
      <c r="B77" t="str">
        <f t="shared" si="65"/>
        <v>〇路 〇恵</v>
      </c>
      <c r="C77" t="s">
        <v>349</v>
      </c>
      <c r="D77" t="str">
        <f t="shared" si="66"/>
        <v>〇ワジ 〇エ</v>
      </c>
      <c r="E77" t="s">
        <v>37</v>
      </c>
      <c r="F77">
        <v>272070</v>
      </c>
      <c r="G77" t="s">
        <v>38</v>
      </c>
      <c r="H77">
        <v>8551017380</v>
      </c>
      <c r="I77" s="7">
        <v>45301</v>
      </c>
      <c r="J77" s="7">
        <v>45689</v>
      </c>
      <c r="K77" s="7">
        <v>46053</v>
      </c>
      <c r="L77" t="s">
        <v>350</v>
      </c>
      <c r="M77" t="str">
        <f t="shared" si="67"/>
        <v>〇路 〇夢</v>
      </c>
      <c r="N77" t="s">
        <v>351</v>
      </c>
      <c r="O77" t="str">
        <f t="shared" ref="O77" si="79">SUBSTITUTE(REPLACE(N77,1,1,"〇"),MID(N77,LEN(N77)-1,1),"〇")</f>
        <v>〇ワジ タ〇ム</v>
      </c>
      <c r="P77" t="s">
        <v>41</v>
      </c>
      <c r="Q77" s="7">
        <v>40891</v>
      </c>
      <c r="R77" s="7">
        <v>44499</v>
      </c>
      <c r="S77" t="s">
        <v>42</v>
      </c>
      <c r="T77" t="s">
        <v>42</v>
      </c>
      <c r="U77" t="s">
        <v>42</v>
      </c>
      <c r="V77" t="s">
        <v>42</v>
      </c>
      <c r="W77">
        <v>1</v>
      </c>
      <c r="X77">
        <v>37200</v>
      </c>
      <c r="Z77" t="s">
        <v>43</v>
      </c>
      <c r="AA77">
        <v>10</v>
      </c>
      <c r="AB77" s="7">
        <v>45689</v>
      </c>
      <c r="AD77" t="s">
        <v>44</v>
      </c>
      <c r="AE77" t="s">
        <v>43</v>
      </c>
      <c r="AF77">
        <v>5</v>
      </c>
      <c r="AG77" s="7">
        <v>45689</v>
      </c>
    </row>
    <row r="78" spans="1:35">
      <c r="A78" t="s">
        <v>352</v>
      </c>
      <c r="B78" t="str">
        <f t="shared" si="65"/>
        <v>〇松 日〇美</v>
      </c>
      <c r="C78" t="s">
        <v>353</v>
      </c>
      <c r="D78" t="str">
        <f t="shared" si="66"/>
        <v>〇カマツ ヒ〇ミ</v>
      </c>
      <c r="E78" t="s">
        <v>37</v>
      </c>
      <c r="F78">
        <v>272070</v>
      </c>
      <c r="G78" t="s">
        <v>38</v>
      </c>
      <c r="H78">
        <v>8551033163</v>
      </c>
      <c r="J78" s="7">
        <v>45689</v>
      </c>
      <c r="K78" s="7">
        <v>46053</v>
      </c>
      <c r="L78" t="s">
        <v>354</v>
      </c>
      <c r="M78" t="str">
        <f t="shared" si="67"/>
        <v>〇松〇奏</v>
      </c>
      <c r="N78" t="s">
        <v>355</v>
      </c>
      <c r="O78" t="str">
        <f t="shared" ref="O78" si="80">SUBSTITUTE(REPLACE(N78,1,1,"〇"),MID(N78,LEN(N78)-1,1),"〇")</f>
        <v>〇カマツ 〇ウ</v>
      </c>
      <c r="P78" t="s">
        <v>41</v>
      </c>
      <c r="Q78" s="7">
        <v>42350</v>
      </c>
      <c r="R78" s="7">
        <v>45748</v>
      </c>
      <c r="S78" t="s">
        <v>42</v>
      </c>
      <c r="T78" t="s">
        <v>42</v>
      </c>
      <c r="U78" t="s">
        <v>42</v>
      </c>
      <c r="V78" t="s">
        <v>42</v>
      </c>
      <c r="W78">
        <v>1</v>
      </c>
      <c r="X78">
        <v>4600</v>
      </c>
      <c r="Z78" t="s">
        <v>43</v>
      </c>
      <c r="AA78">
        <v>10</v>
      </c>
      <c r="AB78" s="7">
        <v>45689</v>
      </c>
      <c r="AC78" s="7">
        <v>46053</v>
      </c>
      <c r="AD78" t="s">
        <v>44</v>
      </c>
      <c r="AE78" t="s">
        <v>43</v>
      </c>
      <c r="AF78">
        <v>5</v>
      </c>
      <c r="AG78" s="7">
        <v>45725</v>
      </c>
      <c r="AH78" s="7">
        <v>46053</v>
      </c>
    </row>
    <row r="79" spans="1:35">
      <c r="A79" t="s">
        <v>356</v>
      </c>
      <c r="B79" t="str">
        <f t="shared" si="65"/>
        <v>〇 〇沙</v>
      </c>
      <c r="C79" t="s">
        <v>357</v>
      </c>
      <c r="D79" t="str">
        <f t="shared" si="66"/>
        <v>〇ジ 〇サ</v>
      </c>
      <c r="E79" t="s">
        <v>37</v>
      </c>
      <c r="F79">
        <v>272070</v>
      </c>
      <c r="G79" t="s">
        <v>38</v>
      </c>
      <c r="H79">
        <v>8551026563</v>
      </c>
      <c r="J79" s="7">
        <v>45689</v>
      </c>
      <c r="K79" s="7">
        <v>46053</v>
      </c>
      <c r="L79" t="s">
        <v>358</v>
      </c>
      <c r="M79" t="str">
        <f t="shared" si="67"/>
        <v>〇 航〇朗</v>
      </c>
      <c r="N79" t="s">
        <v>359</v>
      </c>
      <c r="O79" t="str">
        <f t="shared" ref="O79" si="81">SUBSTITUTE(REPLACE(N79,1,1,"〇"),MID(N79,LEN(N79)-1,1),"〇")</f>
        <v>〇ジ コウシ〇ウ</v>
      </c>
      <c r="P79" t="s">
        <v>41</v>
      </c>
      <c r="Q79" s="7">
        <v>41634</v>
      </c>
      <c r="R79" s="7">
        <v>45390</v>
      </c>
      <c r="S79" t="s">
        <v>42</v>
      </c>
      <c r="T79" t="s">
        <v>42</v>
      </c>
      <c r="U79" t="s">
        <v>42</v>
      </c>
      <c r="V79" t="s">
        <v>42</v>
      </c>
      <c r="W79">
        <v>1</v>
      </c>
      <c r="X79">
        <v>4600</v>
      </c>
      <c r="Y79" t="s">
        <v>44</v>
      </c>
      <c r="Z79" t="s">
        <v>43</v>
      </c>
      <c r="AA79">
        <v>10</v>
      </c>
      <c r="AB79" s="7">
        <v>45689</v>
      </c>
      <c r="AD79" t="s">
        <v>44</v>
      </c>
      <c r="AE79" t="s">
        <v>43</v>
      </c>
      <c r="AF79">
        <v>4</v>
      </c>
      <c r="AG79" s="7">
        <v>45689</v>
      </c>
    </row>
    <row r="80" spans="1:35">
      <c r="A80" t="s">
        <v>360</v>
      </c>
      <c r="B80" t="str">
        <f t="shared" si="65"/>
        <v>〇岡 〇子</v>
      </c>
      <c r="C80" t="s">
        <v>361</v>
      </c>
      <c r="D80" t="str">
        <f t="shared" si="66"/>
        <v>〇ミオカ カ〇コ</v>
      </c>
      <c r="E80" t="s">
        <v>37</v>
      </c>
      <c r="F80">
        <v>272070</v>
      </c>
      <c r="G80" t="s">
        <v>38</v>
      </c>
      <c r="H80">
        <v>8551025409</v>
      </c>
      <c r="I80" s="7">
        <v>45665</v>
      </c>
      <c r="J80" s="7">
        <v>45689</v>
      </c>
      <c r="K80" s="7">
        <v>46053</v>
      </c>
      <c r="L80" t="s">
        <v>362</v>
      </c>
      <c r="M80" t="str">
        <f t="shared" si="67"/>
        <v>〇岡 〇希</v>
      </c>
      <c r="N80" t="s">
        <v>363</v>
      </c>
      <c r="O80" t="str">
        <f t="shared" ref="O80" si="82">SUBSTITUTE(REPLACE(N80,1,1,"〇"),MID(N80,LEN(N80)-1,1),"〇")</f>
        <v>〇ミオカ ヒ〇キ</v>
      </c>
      <c r="P80" t="s">
        <v>98</v>
      </c>
      <c r="Q80" s="7">
        <v>41611</v>
      </c>
      <c r="R80" s="7">
        <v>44309</v>
      </c>
      <c r="S80" t="s">
        <v>42</v>
      </c>
      <c r="T80" t="s">
        <v>42</v>
      </c>
      <c r="U80" t="s">
        <v>42</v>
      </c>
      <c r="V80" t="s">
        <v>42</v>
      </c>
      <c r="W80">
        <v>1</v>
      </c>
      <c r="X80">
        <v>4600</v>
      </c>
      <c r="Y80" t="s">
        <v>44</v>
      </c>
      <c r="Z80" t="s">
        <v>43</v>
      </c>
      <c r="AA80">
        <v>10</v>
      </c>
      <c r="AB80" s="7">
        <v>45689</v>
      </c>
      <c r="AD80" t="s">
        <v>44</v>
      </c>
      <c r="AE80" t="s">
        <v>43</v>
      </c>
      <c r="AF80">
        <v>5</v>
      </c>
      <c r="AG80" s="7">
        <v>45689</v>
      </c>
    </row>
    <row r="81" spans="1:35">
      <c r="A81" t="s">
        <v>364</v>
      </c>
      <c r="B81" t="str">
        <f t="shared" si="65"/>
        <v>〇藤 有〇美</v>
      </c>
      <c r="C81" t="s">
        <v>365</v>
      </c>
      <c r="D81" t="str">
        <f t="shared" si="66"/>
        <v>〇イトウ ア〇ミ</v>
      </c>
      <c r="E81" t="s">
        <v>37</v>
      </c>
      <c r="F81">
        <v>272070</v>
      </c>
      <c r="G81" t="s">
        <v>38</v>
      </c>
      <c r="H81">
        <v>8551019725</v>
      </c>
      <c r="J81" s="7">
        <v>45689</v>
      </c>
      <c r="K81" s="7">
        <v>46053</v>
      </c>
      <c r="L81" t="s">
        <v>366</v>
      </c>
      <c r="M81" t="str">
        <f t="shared" si="67"/>
        <v>〇藤 〇祐</v>
      </c>
      <c r="N81" t="s">
        <v>367</v>
      </c>
      <c r="O81" t="str">
        <f t="shared" ref="O81" si="83">SUBSTITUTE(REPLACE(N81,1,1,"〇"),MID(N81,LEN(N81)-1,1),"〇")</f>
        <v>〇イトウ ソウ〇ケ</v>
      </c>
      <c r="P81" t="s">
        <v>41</v>
      </c>
      <c r="Q81" s="7">
        <v>41993</v>
      </c>
      <c r="R81" s="7">
        <v>45748</v>
      </c>
      <c r="S81" t="s">
        <v>42</v>
      </c>
      <c r="T81" t="s">
        <v>42</v>
      </c>
      <c r="U81" t="s">
        <v>42</v>
      </c>
      <c r="V81" t="s">
        <v>42</v>
      </c>
      <c r="W81">
        <v>1</v>
      </c>
      <c r="X81">
        <v>4600</v>
      </c>
      <c r="Y81" t="s">
        <v>368</v>
      </c>
      <c r="Z81" t="s">
        <v>43</v>
      </c>
      <c r="AA81">
        <v>14</v>
      </c>
      <c r="AB81" s="7">
        <v>45689</v>
      </c>
      <c r="AD81" t="s">
        <v>44</v>
      </c>
      <c r="AE81" t="s">
        <v>43</v>
      </c>
      <c r="AF81">
        <v>5</v>
      </c>
      <c r="AG81" s="7">
        <v>45744</v>
      </c>
      <c r="AI81" t="s">
        <v>80</v>
      </c>
    </row>
    <row r="82" spans="1:35">
      <c r="A82" t="s">
        <v>369</v>
      </c>
      <c r="B82" t="str">
        <f t="shared" si="65"/>
        <v>〇 〇子</v>
      </c>
      <c r="C82" t="s">
        <v>370</v>
      </c>
      <c r="D82" t="str">
        <f t="shared" si="66"/>
        <v>〇ヤシ ジユ〇コ</v>
      </c>
      <c r="E82" t="s">
        <v>37</v>
      </c>
      <c r="F82">
        <v>272070</v>
      </c>
      <c r="G82" t="s">
        <v>38</v>
      </c>
      <c r="H82">
        <v>8551022067</v>
      </c>
      <c r="I82" s="7">
        <v>45317</v>
      </c>
      <c r="J82" s="7">
        <v>45689</v>
      </c>
      <c r="K82" s="7">
        <v>46053</v>
      </c>
      <c r="L82" t="s">
        <v>371</v>
      </c>
      <c r="M82" t="str">
        <f t="shared" si="67"/>
        <v>〇 〇希</v>
      </c>
      <c r="N82" t="s">
        <v>372</v>
      </c>
      <c r="O82" t="str">
        <f t="shared" ref="O82" si="84">SUBSTITUTE(REPLACE(N82,1,1,"〇"),MID(N82,LEN(N82)-1,1),"〇")</f>
        <v>〇ヤシ コ〇キ</v>
      </c>
      <c r="P82" t="s">
        <v>41</v>
      </c>
      <c r="Q82" s="7">
        <v>41609</v>
      </c>
      <c r="R82" s="7">
        <v>45317</v>
      </c>
      <c r="S82" t="s">
        <v>42</v>
      </c>
      <c r="U82" t="s">
        <v>42</v>
      </c>
      <c r="V82" t="s">
        <v>42</v>
      </c>
      <c r="W82">
        <v>1</v>
      </c>
      <c r="X82">
        <v>37200</v>
      </c>
      <c r="Z82" t="s">
        <v>43</v>
      </c>
      <c r="AA82">
        <v>23</v>
      </c>
      <c r="AB82" s="7">
        <v>45689</v>
      </c>
      <c r="AD82" t="s">
        <v>44</v>
      </c>
      <c r="AE82" t="s">
        <v>43</v>
      </c>
      <c r="AF82">
        <v>4</v>
      </c>
      <c r="AG82" s="7">
        <v>45689</v>
      </c>
      <c r="AI82" t="s">
        <v>103</v>
      </c>
    </row>
    <row r="83" spans="1:35">
      <c r="A83" t="s">
        <v>373</v>
      </c>
      <c r="B83" t="str">
        <f t="shared" si="65"/>
        <v>〇井 〇美</v>
      </c>
      <c r="C83" t="s">
        <v>374</v>
      </c>
      <c r="D83" t="str">
        <f t="shared" si="66"/>
        <v>〇ジイ マ〇ミ</v>
      </c>
      <c r="E83" t="s">
        <v>37</v>
      </c>
      <c r="F83">
        <v>272070</v>
      </c>
      <c r="G83" t="s">
        <v>38</v>
      </c>
      <c r="H83">
        <v>8551025649</v>
      </c>
      <c r="I83" s="7">
        <v>34346</v>
      </c>
      <c r="J83" s="7">
        <v>45689</v>
      </c>
      <c r="K83" s="7">
        <v>46053</v>
      </c>
      <c r="L83" t="s">
        <v>375</v>
      </c>
      <c r="M83" t="str">
        <f t="shared" si="67"/>
        <v>〇井 〇太</v>
      </c>
      <c r="N83" t="s">
        <v>376</v>
      </c>
      <c r="O83" t="str">
        <f t="shared" ref="O83" si="85">SUBSTITUTE(REPLACE(N83,1,1,"〇"),MID(N83,LEN(N83)-1,1),"〇")</f>
        <v>〇ジイ リヨ〇タ</v>
      </c>
      <c r="P83" t="s">
        <v>41</v>
      </c>
      <c r="Q83" s="7">
        <v>40904</v>
      </c>
      <c r="R83" s="7">
        <v>44943</v>
      </c>
      <c r="S83" t="s">
        <v>42</v>
      </c>
      <c r="T83" t="s">
        <v>42</v>
      </c>
      <c r="U83" t="s">
        <v>42</v>
      </c>
      <c r="V83" t="s">
        <v>42</v>
      </c>
      <c r="W83">
        <v>1</v>
      </c>
      <c r="X83">
        <v>4600</v>
      </c>
      <c r="Z83" t="s">
        <v>43</v>
      </c>
      <c r="AA83">
        <v>10</v>
      </c>
      <c r="AB83" s="7">
        <v>45689</v>
      </c>
      <c r="AD83" t="s">
        <v>44</v>
      </c>
      <c r="AE83" t="s">
        <v>43</v>
      </c>
      <c r="AF83">
        <v>5</v>
      </c>
      <c r="AG83" s="7">
        <v>45689</v>
      </c>
    </row>
    <row r="84" spans="1:35">
      <c r="A84" t="s">
        <v>76</v>
      </c>
      <c r="B84" t="str">
        <f t="shared" si="65"/>
        <v>〇郷 〇佑</v>
      </c>
      <c r="C84" t="s">
        <v>77</v>
      </c>
      <c r="D84" t="str">
        <f t="shared" si="66"/>
        <v>〇ンゴウ マ〇ウ</v>
      </c>
      <c r="E84" t="s">
        <v>37</v>
      </c>
      <c r="F84">
        <v>272070</v>
      </c>
      <c r="G84" t="s">
        <v>38</v>
      </c>
      <c r="H84">
        <v>8551024451</v>
      </c>
      <c r="I84" s="7">
        <v>45314</v>
      </c>
      <c r="J84" s="7">
        <v>45689</v>
      </c>
      <c r="K84" s="7">
        <v>46053</v>
      </c>
      <c r="L84" t="s">
        <v>377</v>
      </c>
      <c r="M84" t="str">
        <f t="shared" si="67"/>
        <v>〇郷 蔵〇介</v>
      </c>
      <c r="N84" t="s">
        <v>378</v>
      </c>
      <c r="O84" t="str">
        <f t="shared" ref="O84" si="86">SUBSTITUTE(REPLACE(N84,1,1,"〇"),MID(N84,LEN(N84)-1,1),"〇")</f>
        <v>〇ンゴウ クラノ〇ケ</v>
      </c>
      <c r="P84" t="s">
        <v>41</v>
      </c>
      <c r="Q84" s="7">
        <v>40537</v>
      </c>
      <c r="R84" s="7">
        <v>45323</v>
      </c>
      <c r="S84" t="s">
        <v>42</v>
      </c>
      <c r="T84" t="s">
        <v>42</v>
      </c>
      <c r="U84" t="s">
        <v>42</v>
      </c>
      <c r="V84" t="s">
        <v>42</v>
      </c>
      <c r="W84">
        <v>1</v>
      </c>
      <c r="X84">
        <v>0</v>
      </c>
      <c r="Z84" t="s">
        <v>43</v>
      </c>
      <c r="AA84">
        <v>18</v>
      </c>
      <c r="AB84" s="7">
        <v>45689</v>
      </c>
      <c r="AD84" t="s">
        <v>44</v>
      </c>
      <c r="AE84" t="s">
        <v>43</v>
      </c>
      <c r="AF84">
        <v>5</v>
      </c>
      <c r="AG84" s="7">
        <v>45689</v>
      </c>
      <c r="AI84" t="s">
        <v>80</v>
      </c>
    </row>
    <row r="85" spans="1:35">
      <c r="A85" t="s">
        <v>379</v>
      </c>
      <c r="B85" t="str">
        <f t="shared" si="65"/>
        <v>〇岡 紀〇子</v>
      </c>
      <c r="C85" t="s">
        <v>380</v>
      </c>
      <c r="D85" t="str">
        <f t="shared" si="66"/>
        <v>〇ツオカ キ〇コ</v>
      </c>
      <c r="E85" t="s">
        <v>37</v>
      </c>
      <c r="F85">
        <v>272070</v>
      </c>
      <c r="G85" t="s">
        <v>38</v>
      </c>
      <c r="H85">
        <v>8551025151</v>
      </c>
      <c r="I85" s="7">
        <v>45317</v>
      </c>
      <c r="J85" s="7">
        <v>45689</v>
      </c>
      <c r="K85" s="7">
        <v>46053</v>
      </c>
      <c r="L85" t="s">
        <v>381</v>
      </c>
      <c r="M85" t="str">
        <f t="shared" si="67"/>
        <v>〇岡 〇希</v>
      </c>
      <c r="N85" t="s">
        <v>382</v>
      </c>
      <c r="O85" t="str">
        <f t="shared" ref="O85" si="87">SUBSTITUTE(REPLACE(N85,1,1,"〇"),MID(N85,LEN(N85)-1,1),"〇")</f>
        <v>〇ツオカ 〇キ</v>
      </c>
      <c r="P85" t="s">
        <v>98</v>
      </c>
      <c r="Q85" s="7">
        <v>42363</v>
      </c>
      <c r="R85" s="7">
        <v>45566</v>
      </c>
      <c r="S85" t="s">
        <v>42</v>
      </c>
      <c r="T85" t="s">
        <v>42</v>
      </c>
      <c r="U85" t="s">
        <v>42</v>
      </c>
      <c r="V85" t="s">
        <v>42</v>
      </c>
      <c r="W85">
        <v>1</v>
      </c>
      <c r="X85">
        <v>4600</v>
      </c>
      <c r="Z85" t="s">
        <v>43</v>
      </c>
      <c r="AA85">
        <v>10</v>
      </c>
      <c r="AB85" s="7">
        <v>45689</v>
      </c>
      <c r="AD85" t="s">
        <v>44</v>
      </c>
      <c r="AE85" t="s">
        <v>43</v>
      </c>
      <c r="AF85">
        <v>2</v>
      </c>
      <c r="AG85" s="7">
        <v>45689</v>
      </c>
      <c r="AH85" s="7">
        <v>45747</v>
      </c>
      <c r="AI85" t="s">
        <v>85</v>
      </c>
    </row>
    <row r="86" spans="1:35">
      <c r="A86" t="s">
        <v>383</v>
      </c>
      <c r="B86" t="str">
        <f t="shared" si="65"/>
        <v>〇本 ち〇ろ</v>
      </c>
      <c r="C86" t="s">
        <v>384</v>
      </c>
      <c r="D86" t="str">
        <f t="shared" si="66"/>
        <v>〇スモト チ〇ロ</v>
      </c>
      <c r="E86" t="s">
        <v>37</v>
      </c>
      <c r="F86">
        <v>272070</v>
      </c>
      <c r="G86" t="s">
        <v>38</v>
      </c>
      <c r="H86">
        <v>8551017026</v>
      </c>
      <c r="I86" s="7">
        <v>45314</v>
      </c>
      <c r="J86" s="7">
        <v>45689</v>
      </c>
      <c r="K86" s="7">
        <v>46053</v>
      </c>
      <c r="L86" t="s">
        <v>385</v>
      </c>
      <c r="M86" t="str">
        <f t="shared" si="67"/>
        <v>〇本 〇哉</v>
      </c>
      <c r="N86" t="s">
        <v>386</v>
      </c>
      <c r="O86" t="str">
        <f t="shared" ref="O86" si="88">SUBSTITUTE(REPLACE(N86,1,1,"〇"),MID(N86,LEN(N86)-1,1),"〇")</f>
        <v>〇スモト ヨ〇ヤ</v>
      </c>
      <c r="P86" t="s">
        <v>41</v>
      </c>
      <c r="Q86" s="7">
        <v>40163</v>
      </c>
      <c r="R86" s="7">
        <v>43885</v>
      </c>
      <c r="S86" t="s">
        <v>42</v>
      </c>
      <c r="T86" t="s">
        <v>75</v>
      </c>
      <c r="U86" t="s">
        <v>42</v>
      </c>
      <c r="V86" t="s">
        <v>42</v>
      </c>
      <c r="W86">
        <v>1</v>
      </c>
      <c r="X86">
        <v>4600</v>
      </c>
      <c r="Y86" t="s">
        <v>387</v>
      </c>
      <c r="Z86" t="s">
        <v>43</v>
      </c>
      <c r="AA86">
        <v>14</v>
      </c>
      <c r="AB86" s="7">
        <v>45689</v>
      </c>
      <c r="AD86" t="s">
        <v>44</v>
      </c>
      <c r="AE86" t="s">
        <v>43</v>
      </c>
      <c r="AF86">
        <v>4</v>
      </c>
      <c r="AG86" s="7">
        <v>45689</v>
      </c>
      <c r="AI86" t="s">
        <v>50</v>
      </c>
    </row>
    <row r="87" spans="1:35">
      <c r="A87" t="s">
        <v>388</v>
      </c>
      <c r="B87" t="str">
        <f t="shared" si="65"/>
        <v>〇本 〇史</v>
      </c>
      <c r="C87" t="s">
        <v>389</v>
      </c>
      <c r="D87" t="str">
        <f t="shared" si="66"/>
        <v>〇キモト ヒ〇シ</v>
      </c>
      <c r="E87" t="s">
        <v>37</v>
      </c>
      <c r="F87">
        <v>272112</v>
      </c>
      <c r="G87" t="s">
        <v>126</v>
      </c>
      <c r="H87">
        <v>5000027853</v>
      </c>
      <c r="I87" s="7">
        <v>45317</v>
      </c>
      <c r="J87" s="7">
        <v>45689</v>
      </c>
      <c r="K87" s="7">
        <v>46053</v>
      </c>
      <c r="L87" t="s">
        <v>390</v>
      </c>
      <c r="M87" t="str">
        <f t="shared" si="67"/>
        <v>〇本 海〇朗</v>
      </c>
      <c r="N87" t="s">
        <v>391</v>
      </c>
      <c r="O87" t="str">
        <f t="shared" ref="O87" si="89">SUBSTITUTE(REPLACE(N87,1,1,"〇"),MID(N87,LEN(N87)-1,1),"〇")</f>
        <v>〇キモト ウミタ〇ウ</v>
      </c>
      <c r="P87" t="s">
        <v>41</v>
      </c>
      <c r="Q87" s="7">
        <v>42034</v>
      </c>
      <c r="R87" s="7">
        <v>44978</v>
      </c>
      <c r="S87" t="s">
        <v>42</v>
      </c>
      <c r="T87" t="s">
        <v>42</v>
      </c>
      <c r="U87" t="s">
        <v>42</v>
      </c>
      <c r="V87" t="s">
        <v>42</v>
      </c>
      <c r="W87">
        <v>1</v>
      </c>
      <c r="X87">
        <v>0</v>
      </c>
      <c r="Z87" t="s">
        <v>43</v>
      </c>
      <c r="AA87">
        <v>10</v>
      </c>
      <c r="AB87" s="7">
        <v>45689</v>
      </c>
      <c r="AD87" t="s">
        <v>44</v>
      </c>
      <c r="AE87" t="s">
        <v>43</v>
      </c>
      <c r="AF87">
        <v>2</v>
      </c>
      <c r="AG87" s="7">
        <v>45689</v>
      </c>
    </row>
    <row r="88" spans="1:35">
      <c r="A88" t="s">
        <v>344</v>
      </c>
      <c r="B88" t="str">
        <f t="shared" si="65"/>
        <v>〇斐 〇理</v>
      </c>
      <c r="C88" t="s">
        <v>345</v>
      </c>
      <c r="D88" t="str">
        <f t="shared" si="66"/>
        <v>〇イ 〇リ</v>
      </c>
      <c r="E88" t="s">
        <v>37</v>
      </c>
      <c r="F88">
        <v>272070</v>
      </c>
      <c r="G88" t="s">
        <v>38</v>
      </c>
      <c r="H88">
        <v>8551029476</v>
      </c>
      <c r="J88" s="7">
        <v>45717</v>
      </c>
      <c r="K88" s="7">
        <v>46081</v>
      </c>
      <c r="L88" t="s">
        <v>392</v>
      </c>
      <c r="M88" t="str">
        <f t="shared" si="67"/>
        <v>〇斐 〇惺</v>
      </c>
      <c r="N88" t="s">
        <v>393</v>
      </c>
      <c r="O88" t="str">
        <f t="shared" ref="O88" si="90">SUBSTITUTE(REPLACE(N88,1,1,"〇"),MID(N88,LEN(N88)-1,1),"〇")</f>
        <v>〇イ レン〇イ</v>
      </c>
      <c r="P88" t="s">
        <v>41</v>
      </c>
      <c r="Q88" s="7">
        <v>41666</v>
      </c>
      <c r="R88" s="7">
        <v>45748</v>
      </c>
      <c r="S88" t="s">
        <v>42</v>
      </c>
      <c r="T88" t="s">
        <v>42</v>
      </c>
      <c r="U88" t="s">
        <v>42</v>
      </c>
      <c r="V88" t="s">
        <v>42</v>
      </c>
      <c r="W88">
        <v>1</v>
      </c>
      <c r="X88">
        <v>4600</v>
      </c>
      <c r="Y88" t="s">
        <v>44</v>
      </c>
      <c r="Z88" t="s">
        <v>43</v>
      </c>
      <c r="AA88">
        <v>10</v>
      </c>
      <c r="AB88" s="7">
        <v>45717</v>
      </c>
      <c r="AD88" t="s">
        <v>44</v>
      </c>
      <c r="AE88" t="s">
        <v>43</v>
      </c>
      <c r="AF88">
        <v>5</v>
      </c>
      <c r="AG88" s="7">
        <v>45725</v>
      </c>
    </row>
    <row r="89" spans="1:35">
      <c r="A89" t="s">
        <v>394</v>
      </c>
      <c r="B89" t="str">
        <f t="shared" si="65"/>
        <v>〇下 〇樹</v>
      </c>
      <c r="C89" t="s">
        <v>395</v>
      </c>
      <c r="D89" t="str">
        <f t="shared" si="66"/>
        <v>〇ノシタ 〇キ</v>
      </c>
      <c r="E89" t="s">
        <v>37</v>
      </c>
      <c r="F89">
        <v>272070</v>
      </c>
      <c r="G89" t="s">
        <v>38</v>
      </c>
      <c r="H89">
        <v>8551050100</v>
      </c>
      <c r="J89" s="7">
        <v>45717</v>
      </c>
      <c r="K89" s="7">
        <v>46081</v>
      </c>
      <c r="L89" t="s">
        <v>396</v>
      </c>
      <c r="M89" t="str">
        <f t="shared" si="67"/>
        <v>〇下 〇日</v>
      </c>
      <c r="N89" t="s">
        <v>397</v>
      </c>
      <c r="O89" t="str">
        <f t="shared" ref="O89" si="91">SUBSTITUTE(REPLACE(N89,1,1,"〇"),MID(N89,LEN(N89)-1,1),"〇")</f>
        <v>〇ノシタ ユ〇ヒ</v>
      </c>
      <c r="P89" t="s">
        <v>41</v>
      </c>
      <c r="Q89" s="7">
        <v>42374</v>
      </c>
      <c r="R89" s="7">
        <v>45748</v>
      </c>
      <c r="S89" t="s">
        <v>42</v>
      </c>
      <c r="T89" t="s">
        <v>42</v>
      </c>
      <c r="U89" t="s">
        <v>42</v>
      </c>
      <c r="V89" t="s">
        <v>42</v>
      </c>
      <c r="W89">
        <v>1</v>
      </c>
      <c r="X89">
        <v>4600</v>
      </c>
      <c r="Y89" t="s">
        <v>398</v>
      </c>
      <c r="Z89" t="s">
        <v>43</v>
      </c>
      <c r="AA89">
        <v>10</v>
      </c>
      <c r="AB89" s="7">
        <v>45717</v>
      </c>
      <c r="AD89" t="s">
        <v>44</v>
      </c>
      <c r="AE89" t="s">
        <v>43</v>
      </c>
      <c r="AF89">
        <v>5</v>
      </c>
      <c r="AG89" s="7">
        <v>45717</v>
      </c>
    </row>
    <row r="90" spans="1:35">
      <c r="A90" t="s">
        <v>399</v>
      </c>
      <c r="B90" t="str">
        <f t="shared" si="65"/>
        <v>〇島 麻〇子</v>
      </c>
      <c r="C90" t="s">
        <v>400</v>
      </c>
      <c r="D90" t="str">
        <f t="shared" si="66"/>
        <v>〇〇シマ マ〇コ</v>
      </c>
      <c r="E90" t="s">
        <v>37</v>
      </c>
      <c r="F90">
        <v>272070</v>
      </c>
      <c r="G90" t="s">
        <v>38</v>
      </c>
      <c r="H90">
        <v>8551053559</v>
      </c>
      <c r="J90" s="7">
        <v>45717</v>
      </c>
      <c r="K90" s="7">
        <v>46081</v>
      </c>
      <c r="L90" t="s">
        <v>401</v>
      </c>
      <c r="M90" t="str">
        <f t="shared" si="67"/>
        <v>〇島 〇織</v>
      </c>
      <c r="N90" t="s">
        <v>402</v>
      </c>
      <c r="O90" t="str">
        <f t="shared" ref="O90" si="92">SUBSTITUTE(REPLACE(N90,1,1,"〇"),MID(N90,LEN(N90)-1,1),"〇")</f>
        <v>〇リシマ イ〇リ</v>
      </c>
      <c r="P90" t="s">
        <v>41</v>
      </c>
      <c r="Q90" s="7">
        <v>42392</v>
      </c>
      <c r="R90" s="7">
        <v>45748</v>
      </c>
      <c r="S90" t="s">
        <v>42</v>
      </c>
      <c r="T90" t="s">
        <v>42</v>
      </c>
      <c r="U90" t="s">
        <v>42</v>
      </c>
      <c r="V90" t="s">
        <v>42</v>
      </c>
      <c r="W90">
        <v>1</v>
      </c>
      <c r="X90">
        <v>4600</v>
      </c>
      <c r="Z90" t="s">
        <v>43</v>
      </c>
      <c r="AA90">
        <v>10</v>
      </c>
      <c r="AB90" s="7">
        <v>45717</v>
      </c>
      <c r="AD90" t="s">
        <v>44</v>
      </c>
      <c r="AE90" t="s">
        <v>43</v>
      </c>
      <c r="AF90">
        <v>5</v>
      </c>
      <c r="AG90" s="7">
        <v>45725</v>
      </c>
    </row>
    <row r="91" spans="1:35">
      <c r="A91" t="s">
        <v>403</v>
      </c>
      <c r="B91" t="str">
        <f t="shared" si="65"/>
        <v>〇藤〇圭</v>
      </c>
      <c r="C91" t="s">
        <v>404</v>
      </c>
      <c r="D91" t="str">
        <f t="shared" si="66"/>
        <v>〇トウ 〇イ</v>
      </c>
      <c r="E91" t="s">
        <v>37</v>
      </c>
      <c r="F91">
        <v>272104</v>
      </c>
      <c r="G91" t="s">
        <v>405</v>
      </c>
      <c r="H91">
        <v>3000018139</v>
      </c>
      <c r="I91" s="7">
        <v>44986</v>
      </c>
      <c r="J91" s="7">
        <v>45717</v>
      </c>
      <c r="K91" s="7">
        <v>46081</v>
      </c>
      <c r="L91" t="s">
        <v>406</v>
      </c>
      <c r="M91" t="str">
        <f t="shared" si="67"/>
        <v>〇藤 〇虎</v>
      </c>
      <c r="N91" t="s">
        <v>407</v>
      </c>
      <c r="O91" t="str">
        <f t="shared" ref="O91" si="93">SUBSTITUTE(REPLACE(N91,1,1,"〇"),MID(N91,LEN(N91)-1,1),"〇")</f>
        <v>〇ト〇 ユ〇ト</v>
      </c>
      <c r="P91" t="s">
        <v>41</v>
      </c>
      <c r="Q91" s="7">
        <v>42049</v>
      </c>
      <c r="R91" s="7">
        <v>44657</v>
      </c>
      <c r="S91" t="s">
        <v>42</v>
      </c>
      <c r="T91" t="s">
        <v>42</v>
      </c>
      <c r="U91" t="s">
        <v>42</v>
      </c>
      <c r="V91" t="s">
        <v>42</v>
      </c>
      <c r="W91">
        <v>1</v>
      </c>
      <c r="X91">
        <v>4600</v>
      </c>
      <c r="Y91" t="s">
        <v>408</v>
      </c>
      <c r="Z91" t="s">
        <v>43</v>
      </c>
      <c r="AA91">
        <v>27</v>
      </c>
      <c r="AB91" s="7">
        <v>45717</v>
      </c>
      <c r="AD91" t="s">
        <v>44</v>
      </c>
      <c r="AE91" t="s">
        <v>43</v>
      </c>
      <c r="AF91">
        <v>5</v>
      </c>
      <c r="AG91" s="7">
        <v>45717</v>
      </c>
    </row>
    <row r="92" spans="1:35">
      <c r="A92" t="s">
        <v>409</v>
      </c>
      <c r="B92" t="str">
        <f t="shared" si="65"/>
        <v>〇田 〇鈴</v>
      </c>
      <c r="C92" t="s">
        <v>410</v>
      </c>
      <c r="D92" t="str">
        <f t="shared" si="66"/>
        <v>〇マダ ミ〇ズ</v>
      </c>
      <c r="E92" t="s">
        <v>37</v>
      </c>
      <c r="F92">
        <v>272070</v>
      </c>
      <c r="G92" t="s">
        <v>38</v>
      </c>
      <c r="H92">
        <v>8551012571</v>
      </c>
      <c r="I92" s="7">
        <v>45349</v>
      </c>
      <c r="J92" s="7">
        <v>45717</v>
      </c>
      <c r="K92" s="7">
        <v>46081</v>
      </c>
      <c r="L92" t="s">
        <v>411</v>
      </c>
      <c r="M92" t="str">
        <f t="shared" si="67"/>
        <v>〇田 〇生</v>
      </c>
      <c r="N92" t="s">
        <v>412</v>
      </c>
      <c r="O92" t="str">
        <f t="shared" ref="O92" si="94">SUBSTITUTE(REPLACE(N92,1,1,"〇"),MID(N92,LEN(N92)-1,1),"〇")</f>
        <v>〇マダ ム〇キ</v>
      </c>
      <c r="P92" t="s">
        <v>41</v>
      </c>
      <c r="Q92" s="7">
        <v>41299</v>
      </c>
      <c r="R92" s="7">
        <v>44310</v>
      </c>
      <c r="S92" t="s">
        <v>42</v>
      </c>
      <c r="T92" t="s">
        <v>42</v>
      </c>
      <c r="U92" t="s">
        <v>42</v>
      </c>
      <c r="V92" t="s">
        <v>42</v>
      </c>
      <c r="W92">
        <v>1</v>
      </c>
      <c r="X92">
        <v>4600</v>
      </c>
      <c r="Z92" t="s">
        <v>43</v>
      </c>
      <c r="AA92">
        <v>14</v>
      </c>
      <c r="AB92" s="7">
        <v>45717</v>
      </c>
      <c r="AD92" t="s">
        <v>44</v>
      </c>
      <c r="AE92" t="s">
        <v>43</v>
      </c>
      <c r="AF92">
        <v>10</v>
      </c>
      <c r="AG92" s="7">
        <v>45717</v>
      </c>
    </row>
    <row r="93" spans="1:35">
      <c r="A93" t="s">
        <v>413</v>
      </c>
      <c r="B93" t="str">
        <f t="shared" si="65"/>
        <v>〇本 〇子</v>
      </c>
      <c r="C93" t="s">
        <v>414</v>
      </c>
      <c r="D93" t="str">
        <f t="shared" si="66"/>
        <v>〇ラモト ノ〇コ</v>
      </c>
      <c r="E93" t="s">
        <v>37</v>
      </c>
      <c r="F93">
        <v>272070</v>
      </c>
      <c r="G93" t="s">
        <v>38</v>
      </c>
      <c r="H93">
        <v>8551010047</v>
      </c>
      <c r="I93" s="7">
        <v>45341</v>
      </c>
      <c r="J93" s="7">
        <v>45717</v>
      </c>
      <c r="K93" s="7">
        <v>46081</v>
      </c>
      <c r="L93" t="s">
        <v>415</v>
      </c>
      <c r="M93" t="str">
        <f t="shared" si="67"/>
        <v>〇本 〇真</v>
      </c>
      <c r="N93" t="s">
        <v>416</v>
      </c>
      <c r="O93" t="str">
        <f t="shared" ref="O93" si="95">SUBSTITUTE(REPLACE(N93,1,1,"〇"),MID(N93,LEN(N93)-1,1),"〇")</f>
        <v>〇ラモト カズ〇サ</v>
      </c>
      <c r="P93" t="s">
        <v>41</v>
      </c>
      <c r="Q93" s="7">
        <v>39472</v>
      </c>
      <c r="R93" s="7">
        <v>43916</v>
      </c>
      <c r="S93" t="s">
        <v>42</v>
      </c>
      <c r="T93" t="s">
        <v>42</v>
      </c>
      <c r="U93" t="s">
        <v>42</v>
      </c>
      <c r="V93" t="s">
        <v>42</v>
      </c>
      <c r="W93">
        <v>1</v>
      </c>
      <c r="X93">
        <v>37200</v>
      </c>
      <c r="Z93" t="s">
        <v>43</v>
      </c>
      <c r="AA93">
        <v>10</v>
      </c>
      <c r="AB93" s="7">
        <v>45717</v>
      </c>
      <c r="AD93" t="s">
        <v>44</v>
      </c>
      <c r="AE93" t="s">
        <v>43</v>
      </c>
      <c r="AF93">
        <v>5</v>
      </c>
      <c r="AG93" s="7">
        <v>45717</v>
      </c>
      <c r="AI93" t="s">
        <v>222</v>
      </c>
    </row>
    <row r="94" spans="1:35">
      <c r="A94" t="s">
        <v>417</v>
      </c>
      <c r="B94" t="str">
        <f t="shared" si="65"/>
        <v>〇村 〇子</v>
      </c>
      <c r="C94" t="s">
        <v>418</v>
      </c>
      <c r="D94" t="str">
        <f t="shared" si="66"/>
        <v>〇カムラ ノ〇コ</v>
      </c>
      <c r="E94" t="s">
        <v>37</v>
      </c>
      <c r="F94">
        <v>272070</v>
      </c>
      <c r="G94" t="s">
        <v>38</v>
      </c>
      <c r="H94">
        <v>8551030060</v>
      </c>
      <c r="J94" s="7">
        <v>45717</v>
      </c>
      <c r="K94" s="7">
        <v>46081</v>
      </c>
      <c r="L94" t="s">
        <v>419</v>
      </c>
      <c r="M94" t="str">
        <f t="shared" si="67"/>
        <v>〇村 〇人</v>
      </c>
      <c r="N94" t="s">
        <v>420</v>
      </c>
      <c r="O94" t="str">
        <f t="shared" ref="O94" si="96">SUBSTITUTE(REPLACE(N94,1,1,"〇"),MID(N94,LEN(N94)-1,1),"〇")</f>
        <v>〇カムラ ハ〇ト</v>
      </c>
      <c r="P94" t="s">
        <v>41</v>
      </c>
      <c r="Q94" s="7">
        <v>42400</v>
      </c>
      <c r="R94" s="7">
        <v>45078</v>
      </c>
      <c r="S94" t="s">
        <v>42</v>
      </c>
      <c r="T94" t="s">
        <v>42</v>
      </c>
      <c r="U94" t="s">
        <v>42</v>
      </c>
      <c r="V94" t="s">
        <v>42</v>
      </c>
      <c r="W94">
        <v>1</v>
      </c>
      <c r="X94">
        <v>4600</v>
      </c>
      <c r="Y94" t="s">
        <v>421</v>
      </c>
      <c r="Z94" t="s">
        <v>43</v>
      </c>
      <c r="AA94">
        <v>10</v>
      </c>
      <c r="AB94" s="7">
        <v>45717</v>
      </c>
      <c r="AD94" t="s">
        <v>44</v>
      </c>
      <c r="AE94" t="s">
        <v>43</v>
      </c>
      <c r="AF94">
        <v>5</v>
      </c>
      <c r="AG94" s="7">
        <v>45717</v>
      </c>
    </row>
    <row r="95" spans="1:35">
      <c r="A95" t="s">
        <v>422</v>
      </c>
      <c r="B95" t="str">
        <f t="shared" si="65"/>
        <v>〇崎 〇二</v>
      </c>
      <c r="C95" t="s">
        <v>423</v>
      </c>
      <c r="D95" t="str">
        <f t="shared" si="66"/>
        <v>〇マサキ シュ〇ジ</v>
      </c>
      <c r="E95" t="s">
        <v>37</v>
      </c>
      <c r="F95">
        <v>272104</v>
      </c>
      <c r="G95" t="s">
        <v>405</v>
      </c>
      <c r="H95">
        <v>3000021562</v>
      </c>
      <c r="I95" s="7">
        <v>45352</v>
      </c>
      <c r="J95" s="7">
        <v>45717</v>
      </c>
      <c r="K95" s="7">
        <v>46081</v>
      </c>
      <c r="L95" t="s">
        <v>424</v>
      </c>
      <c r="M95" t="str">
        <f t="shared" si="67"/>
        <v>〇崎 〇斗</v>
      </c>
      <c r="N95" t="s">
        <v>425</v>
      </c>
      <c r="O95" t="str">
        <f t="shared" ref="O95" si="97">SUBSTITUTE(REPLACE(N95,1,1,"〇"),MID(N95,LEN(N95)-1,1),"〇")</f>
        <v>〇マサキ ナ〇ト</v>
      </c>
      <c r="P95" t="s">
        <v>41</v>
      </c>
      <c r="Q95" s="7">
        <v>41333</v>
      </c>
      <c r="R95" s="7">
        <v>45352</v>
      </c>
      <c r="S95" t="s">
        <v>42</v>
      </c>
      <c r="T95" t="s">
        <v>42</v>
      </c>
      <c r="U95" t="s">
        <v>42</v>
      </c>
      <c r="V95" t="s">
        <v>42</v>
      </c>
      <c r="W95">
        <v>1</v>
      </c>
      <c r="X95">
        <v>4600</v>
      </c>
      <c r="Y95" t="s">
        <v>426</v>
      </c>
      <c r="Z95" t="s">
        <v>43</v>
      </c>
      <c r="AA95">
        <v>5</v>
      </c>
      <c r="AB95" s="7">
        <v>45717</v>
      </c>
      <c r="AD95" t="s">
        <v>44</v>
      </c>
      <c r="AE95" t="s">
        <v>43</v>
      </c>
      <c r="AF95">
        <v>5</v>
      </c>
      <c r="AG95" s="7">
        <v>45717</v>
      </c>
      <c r="AH95" s="7">
        <v>45747</v>
      </c>
    </row>
    <row r="96" spans="1:35">
      <c r="A96" t="s">
        <v>422</v>
      </c>
      <c r="B96" t="str">
        <f t="shared" si="65"/>
        <v>〇崎 〇二</v>
      </c>
      <c r="C96" t="s">
        <v>423</v>
      </c>
      <c r="D96" t="str">
        <f t="shared" si="66"/>
        <v>〇マサキ シュ〇ジ</v>
      </c>
      <c r="E96" t="s">
        <v>37</v>
      </c>
      <c r="F96">
        <v>272104</v>
      </c>
      <c r="G96" t="s">
        <v>405</v>
      </c>
      <c r="H96">
        <v>3000024244</v>
      </c>
      <c r="I96" s="7">
        <v>45352</v>
      </c>
      <c r="J96" s="7">
        <v>45717</v>
      </c>
      <c r="K96" s="7">
        <v>46081</v>
      </c>
      <c r="L96" t="s">
        <v>427</v>
      </c>
      <c r="M96" t="str">
        <f t="shared" si="67"/>
        <v>〇崎 〇介</v>
      </c>
      <c r="N96" t="s">
        <v>428</v>
      </c>
      <c r="O96" t="str">
        <f t="shared" ref="O96" si="98">SUBSTITUTE(REPLACE(N96,1,1,"〇"),MID(N96,LEN(N96)-1,1),"〇")</f>
        <v>〇マサキ シュン〇ケ</v>
      </c>
      <c r="P96" t="s">
        <v>41</v>
      </c>
      <c r="Q96" s="7">
        <v>42780</v>
      </c>
      <c r="R96" s="7">
        <v>44994</v>
      </c>
      <c r="S96" t="s">
        <v>42</v>
      </c>
      <c r="T96" t="s">
        <v>42</v>
      </c>
      <c r="U96" t="s">
        <v>42</v>
      </c>
      <c r="V96" t="s">
        <v>42</v>
      </c>
      <c r="W96">
        <v>1</v>
      </c>
      <c r="X96">
        <v>4600</v>
      </c>
      <c r="Y96" t="s">
        <v>426</v>
      </c>
      <c r="Z96" t="s">
        <v>43</v>
      </c>
      <c r="AA96">
        <v>20</v>
      </c>
      <c r="AB96" s="7">
        <v>45717</v>
      </c>
      <c r="AD96" t="s">
        <v>44</v>
      </c>
      <c r="AE96" t="s">
        <v>43</v>
      </c>
      <c r="AF96">
        <v>5</v>
      </c>
      <c r="AG96" s="7">
        <v>45717</v>
      </c>
      <c r="AH96" s="7">
        <v>45747</v>
      </c>
    </row>
    <row r="97" spans="1:35">
      <c r="A97" t="s">
        <v>429</v>
      </c>
      <c r="B97" t="str">
        <f t="shared" si="65"/>
        <v>〇井 〇貴</v>
      </c>
      <c r="C97" t="s">
        <v>430</v>
      </c>
      <c r="D97" t="str">
        <f t="shared" si="66"/>
        <v>〇サイ 〇キ</v>
      </c>
      <c r="E97" t="s">
        <v>37</v>
      </c>
      <c r="F97">
        <v>272070</v>
      </c>
      <c r="G97" t="s">
        <v>38</v>
      </c>
      <c r="H97">
        <v>8551009007</v>
      </c>
      <c r="I97" s="7">
        <v>45013</v>
      </c>
      <c r="J97" s="7">
        <v>45748</v>
      </c>
      <c r="K97" s="7">
        <v>46112</v>
      </c>
      <c r="L97" t="s">
        <v>431</v>
      </c>
      <c r="M97" t="str">
        <f t="shared" si="67"/>
        <v>〇井 〇偉</v>
      </c>
      <c r="N97" t="s">
        <v>432</v>
      </c>
      <c r="O97" t="str">
        <f t="shared" ref="O97" si="99">SUBSTITUTE(REPLACE(N97,1,1,"〇"),MID(N97,LEN(N97)-1,1),"〇")</f>
        <v>〇サイ 〇イ</v>
      </c>
      <c r="P97" t="s">
        <v>41</v>
      </c>
      <c r="Q97" s="7">
        <v>40949</v>
      </c>
      <c r="R97" s="7">
        <v>44323</v>
      </c>
      <c r="S97" t="s">
        <v>42</v>
      </c>
      <c r="T97" t="s">
        <v>42</v>
      </c>
      <c r="U97" t="s">
        <v>42</v>
      </c>
      <c r="V97" t="s">
        <v>42</v>
      </c>
      <c r="W97">
        <v>1</v>
      </c>
      <c r="X97">
        <v>0</v>
      </c>
      <c r="Z97" t="s">
        <v>43</v>
      </c>
      <c r="AA97">
        <v>10</v>
      </c>
      <c r="AB97" s="7">
        <v>45748</v>
      </c>
      <c r="AD97" t="s">
        <v>44</v>
      </c>
      <c r="AE97" t="s">
        <v>43</v>
      </c>
      <c r="AF97">
        <v>4</v>
      </c>
      <c r="AG97" s="7">
        <v>45748</v>
      </c>
      <c r="AI97" t="s">
        <v>50</v>
      </c>
    </row>
    <row r="98" spans="1:35">
      <c r="A98" t="s">
        <v>344</v>
      </c>
      <c r="B98" t="str">
        <f t="shared" si="65"/>
        <v>〇斐 〇理</v>
      </c>
      <c r="C98" t="s">
        <v>345</v>
      </c>
      <c r="D98" t="str">
        <f t="shared" si="66"/>
        <v>〇イ 〇リ</v>
      </c>
      <c r="E98" t="s">
        <v>37</v>
      </c>
      <c r="F98">
        <v>272070</v>
      </c>
      <c r="G98" t="s">
        <v>38</v>
      </c>
      <c r="H98">
        <v>8551070223</v>
      </c>
      <c r="J98" s="7">
        <v>45748</v>
      </c>
      <c r="K98" s="7">
        <v>46112</v>
      </c>
      <c r="L98" t="s">
        <v>433</v>
      </c>
      <c r="M98" t="str">
        <f t="shared" si="67"/>
        <v>〇斐 希〇花</v>
      </c>
      <c r="N98" t="s">
        <v>434</v>
      </c>
      <c r="O98" t="str">
        <f t="shared" ref="O98" si="100">SUBSTITUTE(REPLACE(N98,1,1,"〇"),MID(N98,LEN(N98)-1,1),"〇")</f>
        <v>〇イ 〇〇カ</v>
      </c>
      <c r="P98" t="s">
        <v>98</v>
      </c>
      <c r="Q98" s="7">
        <v>43136</v>
      </c>
      <c r="R98" s="7">
        <v>45748</v>
      </c>
      <c r="S98" t="s">
        <v>42</v>
      </c>
      <c r="T98" t="s">
        <v>42</v>
      </c>
      <c r="U98" t="s">
        <v>42</v>
      </c>
      <c r="V98" t="s">
        <v>42</v>
      </c>
      <c r="W98">
        <v>1</v>
      </c>
      <c r="X98">
        <v>4600</v>
      </c>
      <c r="Y98" t="s">
        <v>44</v>
      </c>
      <c r="Z98" t="s">
        <v>43</v>
      </c>
      <c r="AA98">
        <v>10</v>
      </c>
      <c r="AB98" s="7">
        <v>45748</v>
      </c>
      <c r="AD98" t="s">
        <v>44</v>
      </c>
      <c r="AE98" t="s">
        <v>43</v>
      </c>
      <c r="AF98">
        <v>5</v>
      </c>
      <c r="AG98" s="7">
        <v>45748</v>
      </c>
    </row>
    <row r="99" spans="1:35">
      <c r="A99" t="s">
        <v>271</v>
      </c>
      <c r="B99" t="str">
        <f t="shared" si="65"/>
        <v>〇野 千〇子</v>
      </c>
      <c r="C99" t="s">
        <v>272</v>
      </c>
      <c r="D99" t="str">
        <f t="shared" si="66"/>
        <v>〇ワノ チ〇コ</v>
      </c>
      <c r="E99" t="s">
        <v>37</v>
      </c>
      <c r="F99">
        <v>272070</v>
      </c>
      <c r="G99" t="s">
        <v>38</v>
      </c>
      <c r="H99">
        <v>8551000931</v>
      </c>
      <c r="I99" s="7">
        <v>45016</v>
      </c>
      <c r="J99" s="7">
        <v>45748</v>
      </c>
      <c r="K99" s="7">
        <v>46112</v>
      </c>
      <c r="L99" t="s">
        <v>435</v>
      </c>
      <c r="M99" t="str">
        <f t="shared" si="67"/>
        <v>〇野 〇海</v>
      </c>
      <c r="N99" t="s">
        <v>436</v>
      </c>
      <c r="O99" t="str">
        <f t="shared" ref="O99" si="101">SUBSTITUTE(REPLACE(N99,1,1,"〇"),MID(N99,LEN(N99)-1,1),"〇")</f>
        <v>〇ワノ タ〇ミ</v>
      </c>
      <c r="P99" t="s">
        <v>41</v>
      </c>
      <c r="Q99" s="7">
        <v>40233</v>
      </c>
      <c r="R99" s="7">
        <v>44327</v>
      </c>
      <c r="S99" t="s">
        <v>42</v>
      </c>
      <c r="T99" t="s">
        <v>42</v>
      </c>
      <c r="U99" t="s">
        <v>42</v>
      </c>
      <c r="V99" t="s">
        <v>42</v>
      </c>
      <c r="W99">
        <v>1</v>
      </c>
      <c r="X99">
        <v>4600</v>
      </c>
      <c r="Y99" t="s">
        <v>44</v>
      </c>
      <c r="Z99" t="s">
        <v>43</v>
      </c>
      <c r="AA99">
        <v>14</v>
      </c>
      <c r="AB99" s="7">
        <v>45748</v>
      </c>
      <c r="AD99" t="s">
        <v>44</v>
      </c>
      <c r="AE99" t="s">
        <v>43</v>
      </c>
      <c r="AF99">
        <v>4</v>
      </c>
      <c r="AG99" s="7">
        <v>45748</v>
      </c>
      <c r="AI99" t="s">
        <v>50</v>
      </c>
    </row>
    <row r="100" spans="1:35">
      <c r="A100" t="s">
        <v>437</v>
      </c>
      <c r="B100" t="str">
        <f t="shared" si="65"/>
        <v>〇人 〇奈</v>
      </c>
      <c r="C100" t="s">
        <v>438</v>
      </c>
      <c r="D100" t="str">
        <f t="shared" si="66"/>
        <v>〇ワヒト 〇ナ</v>
      </c>
      <c r="E100" t="s">
        <v>37</v>
      </c>
      <c r="F100">
        <v>272070</v>
      </c>
      <c r="G100" t="s">
        <v>38</v>
      </c>
      <c r="H100">
        <v>8551054177</v>
      </c>
      <c r="J100" s="7">
        <v>45748</v>
      </c>
      <c r="K100" s="7">
        <v>46112</v>
      </c>
      <c r="L100" t="s">
        <v>439</v>
      </c>
      <c r="M100" t="str">
        <f t="shared" si="67"/>
        <v>〇人〇禄</v>
      </c>
      <c r="N100" t="s">
        <v>440</v>
      </c>
      <c r="O100" t="str">
        <f t="shared" ref="O100" si="102">SUBSTITUTE(REPLACE(N100,1,1,"〇"),MID(N100,LEN(N100)-1,1),"〇")</f>
        <v>〇ワヒト 〇ク</v>
      </c>
      <c r="P100" t="s">
        <v>41</v>
      </c>
      <c r="Q100" s="7">
        <v>43138</v>
      </c>
      <c r="R100" s="7">
        <v>45399</v>
      </c>
      <c r="S100" t="s">
        <v>42</v>
      </c>
      <c r="T100" t="s">
        <v>42</v>
      </c>
      <c r="U100" t="s">
        <v>42</v>
      </c>
      <c r="V100" t="s">
        <v>42</v>
      </c>
      <c r="W100">
        <v>1</v>
      </c>
      <c r="X100">
        <v>0</v>
      </c>
      <c r="Z100" t="s">
        <v>43</v>
      </c>
      <c r="AA100">
        <v>14</v>
      </c>
      <c r="AB100" s="7">
        <v>45748</v>
      </c>
      <c r="AD100" t="s">
        <v>44</v>
      </c>
      <c r="AE100" t="s">
        <v>43</v>
      </c>
      <c r="AF100">
        <v>5</v>
      </c>
      <c r="AG100" s="7">
        <v>45748</v>
      </c>
    </row>
    <row r="101" spans="1:35">
      <c r="A101" t="s">
        <v>441</v>
      </c>
      <c r="B101" t="str">
        <f t="shared" si="65"/>
        <v>〇藤 智〇子</v>
      </c>
      <c r="C101" t="s">
        <v>442</v>
      </c>
      <c r="D101" t="str">
        <f t="shared" si="66"/>
        <v>〇ドウ チ〇コ</v>
      </c>
      <c r="E101" t="s">
        <v>37</v>
      </c>
      <c r="F101">
        <v>272070</v>
      </c>
      <c r="G101" t="s">
        <v>38</v>
      </c>
      <c r="H101">
        <v>8551012449</v>
      </c>
      <c r="I101" s="7">
        <v>45013</v>
      </c>
      <c r="J101" s="7">
        <v>45748</v>
      </c>
      <c r="K101" s="7">
        <v>46112</v>
      </c>
      <c r="L101" t="s">
        <v>443</v>
      </c>
      <c r="M101" t="str">
        <f t="shared" si="67"/>
        <v>〇藤 〇斗</v>
      </c>
      <c r="N101" t="s">
        <v>444</v>
      </c>
      <c r="O101" t="str">
        <f t="shared" ref="O101" si="103">SUBSTITUTE(REPLACE(N101,1,1,"〇"),MID(N101,LEN(N101)-1,1),"〇")</f>
        <v>〇ド〇 ユ〇ト</v>
      </c>
      <c r="P101" t="s">
        <v>41</v>
      </c>
      <c r="Q101" s="7">
        <v>41313</v>
      </c>
      <c r="R101" s="7">
        <v>44322</v>
      </c>
      <c r="S101" t="s">
        <v>42</v>
      </c>
      <c r="T101" t="s">
        <v>42</v>
      </c>
      <c r="U101" t="s">
        <v>42</v>
      </c>
      <c r="V101" t="s">
        <v>42</v>
      </c>
      <c r="W101">
        <v>1</v>
      </c>
      <c r="X101">
        <v>4600</v>
      </c>
      <c r="Z101" t="s">
        <v>43</v>
      </c>
      <c r="AA101">
        <v>14</v>
      </c>
      <c r="AB101" s="7">
        <v>45748</v>
      </c>
      <c r="AD101" t="s">
        <v>44</v>
      </c>
      <c r="AE101" t="s">
        <v>43</v>
      </c>
      <c r="AF101">
        <v>4</v>
      </c>
      <c r="AG101" s="7">
        <v>45748</v>
      </c>
      <c r="AI101" t="s">
        <v>50</v>
      </c>
    </row>
    <row r="102" spans="1:35">
      <c r="A102" t="s">
        <v>445</v>
      </c>
      <c r="B102" t="str">
        <f t="shared" si="65"/>
        <v>〇田 〇里</v>
      </c>
      <c r="C102" t="s">
        <v>446</v>
      </c>
      <c r="D102" t="str">
        <f t="shared" si="66"/>
        <v>〇ダ ミ〇ト</v>
      </c>
      <c r="E102" t="s">
        <v>37</v>
      </c>
      <c r="F102">
        <v>272070</v>
      </c>
      <c r="G102" t="s">
        <v>38</v>
      </c>
      <c r="H102">
        <v>8551022364</v>
      </c>
      <c r="I102" s="7">
        <v>45013</v>
      </c>
      <c r="J102" s="7">
        <v>45748</v>
      </c>
      <c r="K102" s="7">
        <v>46112</v>
      </c>
      <c r="L102" t="s">
        <v>447</v>
      </c>
      <c r="M102" t="str">
        <f t="shared" si="67"/>
        <v>〇田 〇翔</v>
      </c>
      <c r="N102" t="s">
        <v>448</v>
      </c>
      <c r="O102" t="str">
        <f t="shared" ref="O102" si="104">SUBSTITUTE(REPLACE(N102,1,1,"〇"),MID(N102,LEN(N102)-1,1),"〇")</f>
        <v>〇ダ リ〇ト</v>
      </c>
      <c r="P102" t="s">
        <v>41</v>
      </c>
      <c r="Q102" s="7">
        <v>41686</v>
      </c>
      <c r="R102" s="7">
        <v>45017</v>
      </c>
      <c r="S102" t="s">
        <v>42</v>
      </c>
      <c r="T102" t="s">
        <v>75</v>
      </c>
      <c r="U102" t="s">
        <v>42</v>
      </c>
      <c r="V102" t="s">
        <v>42</v>
      </c>
      <c r="W102">
        <v>1</v>
      </c>
      <c r="X102">
        <v>0</v>
      </c>
      <c r="Z102" t="s">
        <v>43</v>
      </c>
      <c r="AA102">
        <v>23</v>
      </c>
      <c r="AB102" s="7">
        <v>45748</v>
      </c>
      <c r="AD102" t="s">
        <v>44</v>
      </c>
      <c r="AE102" t="s">
        <v>43</v>
      </c>
      <c r="AF102">
        <v>5</v>
      </c>
      <c r="AG102" s="7">
        <v>45748</v>
      </c>
      <c r="AI102" t="s">
        <v>142</v>
      </c>
    </row>
    <row r="103" spans="1:35">
      <c r="A103" t="s">
        <v>449</v>
      </c>
      <c r="B103" t="str">
        <f t="shared" si="65"/>
        <v>〇山 〇子</v>
      </c>
      <c r="C103" t="s">
        <v>450</v>
      </c>
      <c r="D103" t="str">
        <f t="shared" si="66"/>
        <v>〇オヤマ ミ〇コ</v>
      </c>
      <c r="E103" t="s">
        <v>37</v>
      </c>
      <c r="F103">
        <v>272070</v>
      </c>
      <c r="G103" t="s">
        <v>38</v>
      </c>
      <c r="H103">
        <v>8551026910</v>
      </c>
      <c r="I103" s="7">
        <v>44963</v>
      </c>
      <c r="J103" s="7">
        <v>45748</v>
      </c>
      <c r="K103" s="7">
        <v>46112</v>
      </c>
      <c r="L103" t="s">
        <v>451</v>
      </c>
      <c r="M103" t="str">
        <f t="shared" si="67"/>
        <v>〇山 〇弥</v>
      </c>
      <c r="N103" t="s">
        <v>452</v>
      </c>
      <c r="O103" t="str">
        <f t="shared" ref="O103" si="105">SUBSTITUTE(REPLACE(N103,1,1,"〇"),MID(N103,LEN(N103)-1,1),"〇")</f>
        <v>〇オヤマ ト〇ヤ</v>
      </c>
      <c r="P103" t="s">
        <v>41</v>
      </c>
      <c r="Q103" s="7">
        <v>42429</v>
      </c>
      <c r="R103" s="7">
        <v>44963</v>
      </c>
      <c r="S103" t="s">
        <v>42</v>
      </c>
      <c r="T103" t="s">
        <v>42</v>
      </c>
      <c r="U103" t="s">
        <v>42</v>
      </c>
      <c r="V103" t="s">
        <v>42</v>
      </c>
      <c r="W103">
        <v>1</v>
      </c>
      <c r="X103">
        <v>37200</v>
      </c>
      <c r="Z103" t="s">
        <v>43</v>
      </c>
      <c r="AA103">
        <v>10</v>
      </c>
      <c r="AB103" s="7">
        <v>45748</v>
      </c>
      <c r="AD103" t="s">
        <v>44</v>
      </c>
      <c r="AE103" t="s">
        <v>43</v>
      </c>
      <c r="AF103">
        <v>4</v>
      </c>
      <c r="AG103" s="7">
        <v>45748</v>
      </c>
    </row>
    <row r="104" spans="1:35">
      <c r="A104" t="s">
        <v>360</v>
      </c>
      <c r="B104" t="str">
        <f t="shared" si="65"/>
        <v>〇岡 〇子</v>
      </c>
      <c r="C104" t="s">
        <v>361</v>
      </c>
      <c r="D104" t="str">
        <f t="shared" si="66"/>
        <v>〇ミオカ カ〇コ</v>
      </c>
      <c r="E104" t="s">
        <v>37</v>
      </c>
      <c r="F104">
        <v>272070</v>
      </c>
      <c r="G104" t="s">
        <v>38</v>
      </c>
      <c r="H104">
        <v>8551070207</v>
      </c>
      <c r="J104" s="7">
        <v>45748</v>
      </c>
      <c r="K104" s="7">
        <v>46112</v>
      </c>
      <c r="L104" t="s">
        <v>453</v>
      </c>
      <c r="M104" t="str">
        <f t="shared" si="67"/>
        <v>〇岡〇雫</v>
      </c>
      <c r="N104" t="s">
        <v>454</v>
      </c>
      <c r="O104" t="str">
        <f t="shared" ref="O104" si="106">SUBSTITUTE(REPLACE(N104,1,1,"〇"),MID(N104,LEN(N104)-1,1),"〇")</f>
        <v>〇ミオカ シ〇ク</v>
      </c>
      <c r="P104" t="s">
        <v>98</v>
      </c>
      <c r="Q104" s="7">
        <v>42419</v>
      </c>
      <c r="R104" s="7">
        <v>45673</v>
      </c>
      <c r="S104" t="s">
        <v>42</v>
      </c>
      <c r="T104" t="s">
        <v>42</v>
      </c>
      <c r="U104" t="s">
        <v>42</v>
      </c>
      <c r="V104" t="s">
        <v>42</v>
      </c>
      <c r="W104">
        <v>1</v>
      </c>
      <c r="X104">
        <v>4600</v>
      </c>
      <c r="Y104" t="s">
        <v>44</v>
      </c>
      <c r="Z104" t="s">
        <v>43</v>
      </c>
      <c r="AA104">
        <v>10</v>
      </c>
      <c r="AB104" s="7">
        <v>45748</v>
      </c>
      <c r="AD104" t="s">
        <v>44</v>
      </c>
      <c r="AE104" t="s">
        <v>43</v>
      </c>
      <c r="AF104">
        <v>5</v>
      </c>
      <c r="AG104" s="7">
        <v>45748</v>
      </c>
    </row>
    <row r="105" spans="1:35">
      <c r="A105" t="s">
        <v>455</v>
      </c>
      <c r="B105" t="str">
        <f t="shared" si="65"/>
        <v>〇部〇愛</v>
      </c>
      <c r="C105" t="s">
        <v>456</v>
      </c>
      <c r="D105" t="str">
        <f t="shared" si="66"/>
        <v>〇ットリ 〇イ</v>
      </c>
      <c r="E105" t="s">
        <v>37</v>
      </c>
      <c r="F105">
        <v>272070</v>
      </c>
      <c r="G105" t="s">
        <v>38</v>
      </c>
      <c r="H105">
        <v>8551026373</v>
      </c>
      <c r="J105" s="7">
        <v>45748</v>
      </c>
      <c r="K105" s="7">
        <v>46112</v>
      </c>
      <c r="L105" t="s">
        <v>457</v>
      </c>
      <c r="M105" t="str">
        <f t="shared" si="67"/>
        <v>〇部 〇侑</v>
      </c>
      <c r="N105" t="s">
        <v>458</v>
      </c>
      <c r="O105" t="str">
        <f t="shared" ref="O105" si="107">SUBSTITUTE(REPLACE(N105,1,1,"〇"),MID(N105,LEN(N105)-1,1),"〇")</f>
        <v>〇ットリ 〇ウ</v>
      </c>
      <c r="P105" t="s">
        <v>41</v>
      </c>
      <c r="Q105" s="7">
        <v>42045</v>
      </c>
      <c r="R105" s="7">
        <v>45748</v>
      </c>
      <c r="S105" t="s">
        <v>42</v>
      </c>
      <c r="T105" t="s">
        <v>42</v>
      </c>
      <c r="U105" t="s">
        <v>42</v>
      </c>
      <c r="V105" t="s">
        <v>42</v>
      </c>
      <c r="W105">
        <v>1</v>
      </c>
      <c r="X105">
        <v>4600</v>
      </c>
      <c r="Y105" t="s">
        <v>44</v>
      </c>
      <c r="Z105" t="s">
        <v>43</v>
      </c>
      <c r="AA105">
        <v>14</v>
      </c>
      <c r="AB105" s="7">
        <v>45748</v>
      </c>
      <c r="AD105" t="s">
        <v>44</v>
      </c>
      <c r="AE105" t="s">
        <v>43</v>
      </c>
      <c r="AF105">
        <v>4</v>
      </c>
      <c r="AG105" s="7">
        <v>45748</v>
      </c>
    </row>
    <row r="106" spans="1:35">
      <c r="A106" t="s">
        <v>459</v>
      </c>
      <c r="B106" t="str">
        <f t="shared" si="65"/>
        <v>〇路 〇や</v>
      </c>
      <c r="C106" t="s">
        <v>460</v>
      </c>
      <c r="D106" t="str">
        <f t="shared" si="66"/>
        <v>〇ミチ 〇ヤ</v>
      </c>
      <c r="E106" t="s">
        <v>37</v>
      </c>
      <c r="F106">
        <v>272070</v>
      </c>
      <c r="G106" t="s">
        <v>38</v>
      </c>
      <c r="H106">
        <v>8551063079</v>
      </c>
      <c r="J106" s="7">
        <v>45748</v>
      </c>
      <c r="K106" s="7">
        <v>46173</v>
      </c>
      <c r="L106" t="s">
        <v>461</v>
      </c>
      <c r="M106" t="str">
        <f t="shared" si="67"/>
        <v>〇路 〇也</v>
      </c>
      <c r="N106" t="s">
        <v>462</v>
      </c>
      <c r="O106" t="str">
        <f t="shared" ref="O106" si="108">SUBSTITUTE(REPLACE(N106,1,1,"〇"),MID(N106,LEN(N106)-1,1),"〇")</f>
        <v>〇ミチ サ〇ヤ</v>
      </c>
      <c r="P106" t="s">
        <v>41</v>
      </c>
      <c r="Q106" s="7">
        <v>42060</v>
      </c>
      <c r="R106" s="7">
        <v>45810</v>
      </c>
      <c r="S106" t="s">
        <v>42</v>
      </c>
      <c r="T106" t="s">
        <v>75</v>
      </c>
      <c r="U106" t="s">
        <v>42</v>
      </c>
      <c r="V106" t="s">
        <v>42</v>
      </c>
      <c r="W106">
        <v>1</v>
      </c>
      <c r="X106">
        <v>4600</v>
      </c>
      <c r="Z106" t="s">
        <v>43</v>
      </c>
      <c r="AA106">
        <v>10</v>
      </c>
      <c r="AB106" s="7">
        <v>45748</v>
      </c>
      <c r="AD106" t="s">
        <v>44</v>
      </c>
      <c r="AE106" t="s">
        <v>43</v>
      </c>
      <c r="AF106">
        <v>5</v>
      </c>
      <c r="AG106" s="7">
        <v>45810</v>
      </c>
    </row>
    <row r="107" spans="1:35">
      <c r="A107" t="s">
        <v>463</v>
      </c>
      <c r="B107" t="str">
        <f t="shared" si="65"/>
        <v>〇崎 〇史</v>
      </c>
      <c r="C107" t="s">
        <v>464</v>
      </c>
      <c r="D107" t="str">
        <f t="shared" si="66"/>
        <v>〇ザキ タ〇シ</v>
      </c>
      <c r="E107" t="s">
        <v>37</v>
      </c>
      <c r="F107">
        <v>272070</v>
      </c>
      <c r="G107" t="s">
        <v>38</v>
      </c>
      <c r="H107">
        <v>8551012886</v>
      </c>
      <c r="I107" s="7">
        <v>45035</v>
      </c>
      <c r="J107" s="7">
        <v>45778</v>
      </c>
      <c r="K107" s="7">
        <v>46142</v>
      </c>
      <c r="L107" t="s">
        <v>465</v>
      </c>
      <c r="M107" t="str">
        <f t="shared" si="67"/>
        <v>〇崎〇翼</v>
      </c>
      <c r="N107" t="s">
        <v>466</v>
      </c>
      <c r="O107" t="str">
        <f t="shared" ref="O107" si="109">SUBSTITUTE(REPLACE(N107,1,1,"〇"),MID(N107,LEN(N107)-1,1),"〇")</f>
        <v>〇ザキ ツ〇サ</v>
      </c>
      <c r="P107" t="s">
        <v>41</v>
      </c>
      <c r="Q107" s="7">
        <v>40983</v>
      </c>
      <c r="R107" s="7">
        <v>45047</v>
      </c>
      <c r="S107" t="s">
        <v>42</v>
      </c>
      <c r="T107" t="s">
        <v>42</v>
      </c>
      <c r="U107" t="s">
        <v>42</v>
      </c>
      <c r="V107" t="s">
        <v>42</v>
      </c>
      <c r="W107">
        <v>1</v>
      </c>
      <c r="X107">
        <v>4600</v>
      </c>
      <c r="Z107" t="s">
        <v>43</v>
      </c>
      <c r="AA107">
        <v>23</v>
      </c>
      <c r="AB107" s="7">
        <v>45778</v>
      </c>
      <c r="AD107" t="s">
        <v>44</v>
      </c>
      <c r="AE107" t="s">
        <v>43</v>
      </c>
      <c r="AF107">
        <v>5</v>
      </c>
      <c r="AG107" s="7">
        <v>45778</v>
      </c>
      <c r="AI107" t="s">
        <v>231</v>
      </c>
    </row>
    <row r="108" spans="1:35">
      <c r="A108" t="s">
        <v>467</v>
      </c>
      <c r="B108" t="str">
        <f t="shared" si="65"/>
        <v>〇岡 〇子</v>
      </c>
      <c r="C108" t="s">
        <v>468</v>
      </c>
      <c r="D108" t="str">
        <f t="shared" si="66"/>
        <v>〇サオカ ジユ〇コ</v>
      </c>
      <c r="E108" t="s">
        <v>37</v>
      </c>
      <c r="F108">
        <v>272070</v>
      </c>
      <c r="G108" t="s">
        <v>38</v>
      </c>
      <c r="H108">
        <v>8551064341</v>
      </c>
      <c r="I108" s="7">
        <v>45341</v>
      </c>
      <c r="J108" s="7">
        <v>45778</v>
      </c>
      <c r="K108" s="7">
        <v>46142</v>
      </c>
      <c r="L108" t="s">
        <v>469</v>
      </c>
      <c r="M108" t="str">
        <f t="shared" si="67"/>
        <v>〇岡 〇太</v>
      </c>
      <c r="N108" t="s">
        <v>470</v>
      </c>
      <c r="O108" t="str">
        <f t="shared" ref="O108" si="110">SUBSTITUTE(REPLACE(N108,1,1,"〇"),MID(N108,LEN(N108)-1,1),"〇")</f>
        <v>〇サオカ ソ〇タ</v>
      </c>
      <c r="P108" t="s">
        <v>41</v>
      </c>
      <c r="Q108" s="7">
        <v>41335</v>
      </c>
      <c r="R108" s="7">
        <v>45341</v>
      </c>
      <c r="S108" t="s">
        <v>42</v>
      </c>
      <c r="T108" t="s">
        <v>42</v>
      </c>
      <c r="U108" t="s">
        <v>42</v>
      </c>
      <c r="V108" t="s">
        <v>42</v>
      </c>
      <c r="W108">
        <v>1</v>
      </c>
      <c r="X108">
        <v>4600</v>
      </c>
      <c r="Z108" t="s">
        <v>43</v>
      </c>
      <c r="AA108">
        <v>10</v>
      </c>
      <c r="AB108" s="7">
        <v>45778</v>
      </c>
      <c r="AD108" t="s">
        <v>44</v>
      </c>
      <c r="AE108" t="s">
        <v>43</v>
      </c>
      <c r="AF108">
        <v>5</v>
      </c>
      <c r="AG108" s="7">
        <v>45778</v>
      </c>
    </row>
    <row r="109" spans="1:35">
      <c r="A109" t="s">
        <v>471</v>
      </c>
      <c r="B109" t="str">
        <f t="shared" si="65"/>
        <v>〇田 〇佳</v>
      </c>
      <c r="C109" t="s">
        <v>472</v>
      </c>
      <c r="D109" t="str">
        <f t="shared" si="66"/>
        <v>〇シダ 〇カ</v>
      </c>
      <c r="E109" t="s">
        <v>37</v>
      </c>
      <c r="F109">
        <v>272070</v>
      </c>
      <c r="G109" t="s">
        <v>38</v>
      </c>
      <c r="H109">
        <v>8551064465</v>
      </c>
      <c r="I109" s="7">
        <v>45351</v>
      </c>
      <c r="J109" s="7">
        <v>45778</v>
      </c>
      <c r="K109" s="7">
        <v>46142</v>
      </c>
      <c r="L109" t="s">
        <v>473</v>
      </c>
      <c r="M109" t="str">
        <f t="shared" si="67"/>
        <v>〇田 〇生</v>
      </c>
      <c r="N109" t="s">
        <v>474</v>
      </c>
      <c r="O109" t="str">
        <f t="shared" ref="O109" si="111">SUBSTITUTE(REPLACE(N109,1,1,"〇"),MID(N109,LEN(N109)-1,1),"〇")</f>
        <v>〇シダ ユ〇オ</v>
      </c>
      <c r="P109" t="s">
        <v>41</v>
      </c>
      <c r="Q109" s="7">
        <v>42450</v>
      </c>
      <c r="R109" s="7">
        <v>45351</v>
      </c>
      <c r="S109" t="s">
        <v>42</v>
      </c>
      <c r="T109" t="s">
        <v>42</v>
      </c>
      <c r="U109" t="s">
        <v>42</v>
      </c>
      <c r="V109" t="s">
        <v>42</v>
      </c>
      <c r="W109">
        <v>1</v>
      </c>
      <c r="X109">
        <v>4600</v>
      </c>
      <c r="Z109" t="s">
        <v>43</v>
      </c>
      <c r="AA109">
        <v>10</v>
      </c>
      <c r="AB109" s="7">
        <v>45778</v>
      </c>
      <c r="AD109" t="s">
        <v>44</v>
      </c>
      <c r="AE109" t="s">
        <v>43</v>
      </c>
      <c r="AF109">
        <v>5</v>
      </c>
      <c r="AG109" s="7">
        <v>45778</v>
      </c>
    </row>
    <row r="110" spans="1:35">
      <c r="A110" t="s">
        <v>475</v>
      </c>
      <c r="B110" t="str">
        <f t="shared" si="65"/>
        <v>〇本〇恵</v>
      </c>
      <c r="C110" t="s">
        <v>476</v>
      </c>
      <c r="D110" t="str">
        <f t="shared" si="66"/>
        <v>〇ジモト メ〇ミ</v>
      </c>
      <c r="E110" t="s">
        <v>37</v>
      </c>
      <c r="F110">
        <v>272070</v>
      </c>
      <c r="G110" t="s">
        <v>38</v>
      </c>
      <c r="H110">
        <v>8551019857</v>
      </c>
      <c r="I110" s="7">
        <v>45023</v>
      </c>
      <c r="J110" s="7">
        <v>45778</v>
      </c>
      <c r="K110" s="7">
        <v>46142</v>
      </c>
      <c r="L110" t="s">
        <v>477</v>
      </c>
      <c r="M110" t="str">
        <f t="shared" si="67"/>
        <v>〇本〇聖</v>
      </c>
      <c r="N110" t="s">
        <v>478</v>
      </c>
      <c r="O110" t="str">
        <f t="shared" ref="O110" si="112">SUBSTITUTE(REPLACE(N110,1,1,"〇"),MID(N110,LEN(N110)-1,1),"〇")</f>
        <v>〇ジモト ア〇ラ</v>
      </c>
      <c r="P110" t="s">
        <v>41</v>
      </c>
      <c r="Q110" s="7">
        <v>42082</v>
      </c>
      <c r="R110" s="7">
        <v>45047</v>
      </c>
      <c r="S110" t="s">
        <v>42</v>
      </c>
      <c r="T110" t="s">
        <v>42</v>
      </c>
      <c r="U110" t="s">
        <v>42</v>
      </c>
      <c r="V110" t="s">
        <v>42</v>
      </c>
      <c r="W110">
        <v>1</v>
      </c>
      <c r="X110">
        <v>4600</v>
      </c>
      <c r="Y110" t="s">
        <v>479</v>
      </c>
      <c r="Z110" t="s">
        <v>43</v>
      </c>
      <c r="AA110">
        <v>10</v>
      </c>
      <c r="AB110" s="7">
        <v>45778</v>
      </c>
      <c r="AD110" t="s">
        <v>44</v>
      </c>
      <c r="AE110" t="s">
        <v>43</v>
      </c>
      <c r="AF110">
        <v>3</v>
      </c>
      <c r="AG110" s="7">
        <v>45778</v>
      </c>
    </row>
    <row r="111" spans="1:35">
      <c r="A111" t="s">
        <v>116</v>
      </c>
      <c r="B111" t="str">
        <f t="shared" si="65"/>
        <v>〇山 〇美</v>
      </c>
      <c r="C111" t="s">
        <v>117</v>
      </c>
      <c r="D111" t="str">
        <f t="shared" si="66"/>
        <v>〇ラヤマ ト〇ミ</v>
      </c>
      <c r="E111" t="s">
        <v>37</v>
      </c>
      <c r="F111">
        <v>272070</v>
      </c>
      <c r="G111" t="s">
        <v>38</v>
      </c>
      <c r="H111">
        <v>8551034013</v>
      </c>
      <c r="I111" s="7">
        <v>45399</v>
      </c>
      <c r="J111" s="7">
        <v>45778</v>
      </c>
      <c r="K111" s="7">
        <v>46142</v>
      </c>
      <c r="L111" t="s">
        <v>480</v>
      </c>
      <c r="M111" t="str">
        <f t="shared" si="67"/>
        <v>〇山 〇美</v>
      </c>
      <c r="N111" t="s">
        <v>481</v>
      </c>
      <c r="O111" t="str">
        <f t="shared" ref="O111" si="113">SUBSTITUTE(REPLACE(N111,1,1,"〇"),MID(N111,LEN(N111)-1,1),"〇")</f>
        <v>〇ラヤマ サ〇ミ</v>
      </c>
      <c r="P111" t="s">
        <v>98</v>
      </c>
      <c r="Q111" s="7">
        <v>43168</v>
      </c>
      <c r="R111" s="7">
        <v>45597</v>
      </c>
      <c r="S111" t="s">
        <v>42</v>
      </c>
      <c r="T111" t="s">
        <v>42</v>
      </c>
      <c r="U111" t="s">
        <v>42</v>
      </c>
      <c r="V111" t="s">
        <v>42</v>
      </c>
      <c r="W111">
        <v>1</v>
      </c>
      <c r="X111">
        <v>4600</v>
      </c>
      <c r="Y111" t="s">
        <v>44</v>
      </c>
      <c r="Z111" t="s">
        <v>43</v>
      </c>
      <c r="AA111">
        <v>10</v>
      </c>
      <c r="AB111" s="7">
        <v>45778</v>
      </c>
      <c r="AD111" t="s">
        <v>44</v>
      </c>
      <c r="AE111" t="s">
        <v>43</v>
      </c>
      <c r="AF111">
        <v>5</v>
      </c>
      <c r="AG111" s="7">
        <v>45778</v>
      </c>
    </row>
    <row r="112" spans="1:35">
      <c r="A112" t="s">
        <v>482</v>
      </c>
      <c r="B112" t="str">
        <f t="shared" si="65"/>
        <v>〇岡 〇子</v>
      </c>
      <c r="C112" t="s">
        <v>483</v>
      </c>
      <c r="D112" t="str">
        <f t="shared" si="66"/>
        <v>〇マオカ ト〇コ</v>
      </c>
      <c r="E112" t="s">
        <v>37</v>
      </c>
      <c r="F112">
        <v>272070</v>
      </c>
      <c r="G112" t="s">
        <v>38</v>
      </c>
      <c r="H112">
        <v>8551062360</v>
      </c>
      <c r="J112" s="7">
        <v>45778</v>
      </c>
      <c r="K112" s="7">
        <v>46142</v>
      </c>
      <c r="L112" t="s">
        <v>484</v>
      </c>
      <c r="M112" t="str">
        <f t="shared" si="67"/>
        <v>〇岡 〇星</v>
      </c>
      <c r="N112" t="s">
        <v>485</v>
      </c>
      <c r="O112" t="str">
        <f t="shared" ref="O112" si="114">SUBSTITUTE(REPLACE(N112,1,1,"〇"),MID(N112,LEN(N112)-1,1),"〇")</f>
        <v>〇マオカ リュウ〇イ</v>
      </c>
      <c r="P112" t="s">
        <v>41</v>
      </c>
      <c r="Q112" s="7">
        <v>40996</v>
      </c>
      <c r="R112" s="7">
        <v>45748</v>
      </c>
      <c r="S112" t="s">
        <v>42</v>
      </c>
      <c r="T112" t="s">
        <v>75</v>
      </c>
      <c r="U112" t="s">
        <v>42</v>
      </c>
      <c r="V112" t="s">
        <v>42</v>
      </c>
      <c r="W112">
        <v>1</v>
      </c>
      <c r="X112">
        <v>4600</v>
      </c>
      <c r="Y112" t="s">
        <v>486</v>
      </c>
      <c r="Z112" t="s">
        <v>43</v>
      </c>
      <c r="AA112">
        <v>14</v>
      </c>
      <c r="AB112" s="7">
        <v>45778</v>
      </c>
      <c r="AD112" t="s">
        <v>44</v>
      </c>
      <c r="AE112" t="s">
        <v>43</v>
      </c>
      <c r="AF112">
        <v>4</v>
      </c>
      <c r="AG112" s="7">
        <v>45778</v>
      </c>
    </row>
    <row r="113" spans="1:35">
      <c r="A113" t="s">
        <v>487</v>
      </c>
      <c r="B113" t="str">
        <f t="shared" si="65"/>
        <v>〇橋〇愛</v>
      </c>
      <c r="C113" t="s">
        <v>488</v>
      </c>
      <c r="D113" t="str">
        <f t="shared" si="66"/>
        <v>〇バシ 〇イ</v>
      </c>
      <c r="E113" t="s">
        <v>37</v>
      </c>
      <c r="F113">
        <v>272070</v>
      </c>
      <c r="G113" t="s">
        <v>38</v>
      </c>
      <c r="H113">
        <v>8551023743</v>
      </c>
      <c r="J113" s="7">
        <v>45809</v>
      </c>
      <c r="K113" s="7">
        <v>46173</v>
      </c>
      <c r="L113" t="s">
        <v>489</v>
      </c>
      <c r="M113" t="str">
        <f t="shared" si="67"/>
        <v>〇橋 〇希</v>
      </c>
      <c r="N113" t="s">
        <v>490</v>
      </c>
      <c r="O113" t="str">
        <f t="shared" ref="O113" si="115">SUBSTITUTE(REPLACE(N113,1,1,"〇"),MID(N113,LEN(N113)-1,1),"〇")</f>
        <v>〇バシ ユ〇キ</v>
      </c>
      <c r="P113" t="s">
        <v>98</v>
      </c>
      <c r="Q113" s="7">
        <v>42115</v>
      </c>
      <c r="R113" s="7">
        <v>45748</v>
      </c>
      <c r="S113" t="s">
        <v>42</v>
      </c>
      <c r="T113" t="s">
        <v>42</v>
      </c>
      <c r="U113" t="s">
        <v>42</v>
      </c>
      <c r="V113" t="s">
        <v>42</v>
      </c>
      <c r="W113">
        <v>1</v>
      </c>
      <c r="X113">
        <v>4600</v>
      </c>
      <c r="Y113" t="s">
        <v>491</v>
      </c>
      <c r="Z113" t="s">
        <v>43</v>
      </c>
      <c r="AA113">
        <v>23</v>
      </c>
      <c r="AB113" s="7">
        <v>45809</v>
      </c>
      <c r="AD113" t="s">
        <v>44</v>
      </c>
      <c r="AE113" t="s">
        <v>43</v>
      </c>
      <c r="AF113">
        <v>5</v>
      </c>
      <c r="AG113" s="7">
        <v>45809</v>
      </c>
      <c r="AI113" t="s">
        <v>80</v>
      </c>
    </row>
  </sheetData>
  <sheetProtection algorithmName="SHA-512" hashValue="qsp2kGhlr0uQr/zPwuhYJXAokEqZGflFZWyIzWQyrKsOSOPdQfwor+I2BZW6N7rYapoAesPnqk2Jlheab9JWOw==" saltValue="VIyd1ZAcOZHBMxKuylE6NA==" spinCount="100000" sheet="1" objects="1" scenarios="1"/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4FC5-8151-48C0-8EF7-1A6051335C3F}">
  <dimension ref="A1:K98"/>
  <sheetViews>
    <sheetView topLeftCell="B1" workbookViewId="0">
      <selection activeCell="B1" sqref="B1:B2"/>
    </sheetView>
  </sheetViews>
  <sheetFormatPr defaultRowHeight="15.95" customHeight="1"/>
  <cols>
    <col min="1" max="1" width="17" hidden="1" customWidth="1"/>
    <col min="2" max="2" width="17" customWidth="1"/>
    <col min="3" max="3" width="9.5" hidden="1" customWidth="1"/>
    <col min="4" max="4" width="11.5" bestFit="1" customWidth="1"/>
    <col min="5" max="5" width="13.875" bestFit="1" customWidth="1"/>
    <col min="6" max="6" width="21" bestFit="1" customWidth="1"/>
    <col min="8" max="8" width="31.625" bestFit="1" customWidth="1"/>
    <col min="9" max="9" width="11.375" hidden="1" customWidth="1"/>
    <col min="10" max="10" width="11.375" bestFit="1" customWidth="1"/>
    <col min="11" max="11" width="6.375" bestFit="1" customWidth="1"/>
  </cols>
  <sheetData>
    <row r="1" spans="1:11" ht="18" customHeight="1">
      <c r="A1" s="18" t="s">
        <v>0</v>
      </c>
      <c r="B1" s="18" t="s">
        <v>492</v>
      </c>
      <c r="C1" s="18" t="s">
        <v>493</v>
      </c>
      <c r="D1" s="18" t="s">
        <v>494</v>
      </c>
      <c r="E1" s="18" t="s">
        <v>495</v>
      </c>
      <c r="F1" s="18" t="s">
        <v>496</v>
      </c>
      <c r="G1" s="1" t="s">
        <v>497</v>
      </c>
      <c r="H1" s="18" t="s">
        <v>498</v>
      </c>
      <c r="I1" s="18" t="s">
        <v>499</v>
      </c>
      <c r="J1" s="18" t="s">
        <v>500</v>
      </c>
      <c r="K1" s="1" t="s">
        <v>501</v>
      </c>
    </row>
    <row r="2" spans="1:11" ht="15.95" customHeight="1" thickBot="1">
      <c r="A2" s="19"/>
      <c r="B2" s="19"/>
      <c r="C2" s="19"/>
      <c r="D2" s="19"/>
      <c r="E2" s="19"/>
      <c r="F2" s="19"/>
      <c r="G2" s="2" t="s">
        <v>502</v>
      </c>
      <c r="H2" s="19"/>
      <c r="I2" s="19"/>
      <c r="J2" s="19"/>
      <c r="K2" s="2" t="s">
        <v>503</v>
      </c>
    </row>
    <row r="3" spans="1:11" ht="15.95" customHeight="1" thickBot="1">
      <c r="A3" s="3" t="s">
        <v>186</v>
      </c>
      <c r="B3" s="6" t="str">
        <f>SUBSTITUTE(REPLACE(A3,1,1,"〇"),MID(A3,LEN(A3)-1,1),"〇")</f>
        <v>〇柳〇綾</v>
      </c>
      <c r="C3" s="4" t="s">
        <v>504</v>
      </c>
      <c r="D3" s="6" t="str">
        <f t="shared" ref="B3:D67" si="0">SUBSTITUTE(REPLACE(C3,1,1,"〇"),MID(C3,LEN(C3)-1,1),"〇")</f>
        <v>〇柳 〇輝</v>
      </c>
      <c r="E3" s="5">
        <v>40397</v>
      </c>
      <c r="F3" s="4" t="s">
        <v>505</v>
      </c>
      <c r="G3" s="4">
        <v>8551005401</v>
      </c>
      <c r="H3" s="4" t="s">
        <v>506</v>
      </c>
      <c r="I3" s="4" t="s">
        <v>507</v>
      </c>
      <c r="J3" s="4" t="str">
        <f>IF(I3&lt;&gt;"",SUBSTITUTE(REPLACE(I3,1,1,"0"),MID(I3,LEN(I3)-1,1),"0"),"")</f>
        <v>072-671-4804</v>
      </c>
      <c r="K3" s="4" t="s">
        <v>508</v>
      </c>
    </row>
    <row r="4" spans="1:11" ht="15.95" customHeight="1" thickBot="1">
      <c r="A4" s="3" t="s">
        <v>307</v>
      </c>
      <c r="B4" s="6" t="str">
        <f t="shared" si="0"/>
        <v>〇山 〇菜</v>
      </c>
      <c r="C4" s="4" t="s">
        <v>509</v>
      </c>
      <c r="D4" s="6" t="str">
        <f t="shared" si="0"/>
        <v>〇山 紘〇朗</v>
      </c>
      <c r="E4" s="5">
        <v>40493</v>
      </c>
      <c r="F4" s="4" t="s">
        <v>505</v>
      </c>
      <c r="G4" s="4">
        <v>8551005179</v>
      </c>
      <c r="H4" s="4" t="s">
        <v>510</v>
      </c>
      <c r="I4" s="4"/>
      <c r="J4" s="4" t="str">
        <f t="shared" ref="J4:J67" si="1">IF(I4&lt;&gt;"",SUBSTITUTE(REPLACE(I4,1,1,"0"),MID(I4,LEN(I4)-1,1),"0"),"")</f>
        <v/>
      </c>
      <c r="K4" s="4" t="s">
        <v>508</v>
      </c>
    </row>
    <row r="5" spans="1:11" ht="15.95" customHeight="1" thickBot="1">
      <c r="A5" s="3" t="s">
        <v>356</v>
      </c>
      <c r="B5" s="6" t="str">
        <f t="shared" si="0"/>
        <v>〇 〇沙</v>
      </c>
      <c r="C5" s="4" t="s">
        <v>511</v>
      </c>
      <c r="D5" s="6" t="str">
        <f t="shared" si="0"/>
        <v>〇 航〇朗</v>
      </c>
      <c r="E5" s="5">
        <v>41634</v>
      </c>
      <c r="F5" s="4" t="s">
        <v>505</v>
      </c>
      <c r="G5" s="4">
        <v>8551026563</v>
      </c>
      <c r="H5" s="4" t="s">
        <v>512</v>
      </c>
      <c r="I5" s="4"/>
      <c r="J5" s="4" t="str">
        <f t="shared" si="1"/>
        <v/>
      </c>
      <c r="K5" s="4" t="s">
        <v>508</v>
      </c>
    </row>
    <row r="6" spans="1:11" ht="15.95" customHeight="1" thickBot="1">
      <c r="A6" s="3" t="s">
        <v>108</v>
      </c>
      <c r="B6" s="6" t="str">
        <f t="shared" si="0"/>
        <v>〇迫〇愛</v>
      </c>
      <c r="C6" s="4" t="s">
        <v>513</v>
      </c>
      <c r="D6" s="6" t="str">
        <f t="shared" si="0"/>
        <v>〇迫〇紡</v>
      </c>
      <c r="E6" s="5">
        <v>42179</v>
      </c>
      <c r="F6" s="4" t="s">
        <v>505</v>
      </c>
      <c r="G6" s="4">
        <v>8551025862</v>
      </c>
      <c r="H6" s="4" t="s">
        <v>514</v>
      </c>
      <c r="I6" s="4"/>
      <c r="J6" s="4" t="str">
        <f t="shared" si="1"/>
        <v/>
      </c>
      <c r="K6" s="4" t="s">
        <v>508</v>
      </c>
    </row>
    <row r="7" spans="1:11" ht="15.95" customHeight="1" thickBot="1">
      <c r="A7" s="3" t="s">
        <v>413</v>
      </c>
      <c r="B7" s="6" t="str">
        <f t="shared" si="0"/>
        <v>〇本 〇子</v>
      </c>
      <c r="C7" s="4" t="s">
        <v>515</v>
      </c>
      <c r="D7" s="6" t="str">
        <f t="shared" si="0"/>
        <v>〇本 〇真</v>
      </c>
      <c r="E7" s="5">
        <v>39472</v>
      </c>
      <c r="F7" s="4" t="s">
        <v>505</v>
      </c>
      <c r="G7" s="4">
        <v>8551010047</v>
      </c>
      <c r="H7" s="4" t="s">
        <v>516</v>
      </c>
      <c r="I7" s="4" t="s">
        <v>517</v>
      </c>
      <c r="J7" s="4" t="str">
        <f t="shared" si="1"/>
        <v>072-675-1306</v>
      </c>
      <c r="K7" s="4" t="s">
        <v>508</v>
      </c>
    </row>
    <row r="8" spans="1:11" ht="15.95" customHeight="1" thickBot="1">
      <c r="A8" s="3" t="s">
        <v>449</v>
      </c>
      <c r="B8" s="6" t="str">
        <f t="shared" si="0"/>
        <v>〇山 〇子</v>
      </c>
      <c r="C8" s="4" t="s">
        <v>518</v>
      </c>
      <c r="D8" s="6" t="str">
        <f t="shared" si="0"/>
        <v>〇山 〇弥</v>
      </c>
      <c r="E8" s="5">
        <v>42429</v>
      </c>
      <c r="F8" s="4" t="s">
        <v>505</v>
      </c>
      <c r="G8" s="4">
        <v>8551026910</v>
      </c>
      <c r="H8" s="4" t="s">
        <v>519</v>
      </c>
      <c r="I8" s="4" t="s">
        <v>520</v>
      </c>
      <c r="J8" s="4" t="str">
        <f t="shared" si="1"/>
        <v>072-620-0204</v>
      </c>
      <c r="K8" s="4" t="s">
        <v>508</v>
      </c>
    </row>
    <row r="9" spans="1:11" ht="15.95" customHeight="1" thickBot="1">
      <c r="A9" s="3" t="s">
        <v>360</v>
      </c>
      <c r="B9" s="6" t="str">
        <f t="shared" si="0"/>
        <v>〇岡 〇子</v>
      </c>
      <c r="C9" s="4" t="s">
        <v>521</v>
      </c>
      <c r="D9" s="6" t="str">
        <f t="shared" si="0"/>
        <v>〇岡 〇希</v>
      </c>
      <c r="E9" s="5">
        <v>41611</v>
      </c>
      <c r="F9" s="4" t="s">
        <v>505</v>
      </c>
      <c r="G9" s="4">
        <v>8551025409</v>
      </c>
      <c r="H9" s="4" t="s">
        <v>512</v>
      </c>
      <c r="I9" s="4" t="s">
        <v>522</v>
      </c>
      <c r="J9" s="4" t="str">
        <f t="shared" si="1"/>
        <v>072-628-4308</v>
      </c>
      <c r="K9" s="4" t="s">
        <v>508</v>
      </c>
    </row>
    <row r="10" spans="1:11" ht="15.95" customHeight="1" thickBot="1">
      <c r="A10" s="3" t="s">
        <v>360</v>
      </c>
      <c r="B10" s="6" t="str">
        <f t="shared" si="0"/>
        <v>〇岡 〇子</v>
      </c>
      <c r="C10" s="4" t="s">
        <v>523</v>
      </c>
      <c r="D10" s="6" t="str">
        <f t="shared" si="0"/>
        <v>〇岡〇雫</v>
      </c>
      <c r="E10" s="5">
        <v>42419</v>
      </c>
      <c r="F10" s="4" t="s">
        <v>505</v>
      </c>
      <c r="G10" s="4">
        <v>8551070207</v>
      </c>
      <c r="H10" s="4" t="s">
        <v>519</v>
      </c>
      <c r="I10" s="4" t="s">
        <v>522</v>
      </c>
      <c r="J10" s="4" t="str">
        <f t="shared" si="1"/>
        <v>072-628-4308</v>
      </c>
      <c r="K10" s="4" t="s">
        <v>508</v>
      </c>
    </row>
    <row r="11" spans="1:11" ht="15.95" customHeight="1" thickBot="1">
      <c r="A11" s="3" t="s">
        <v>487</v>
      </c>
      <c r="B11" s="6" t="str">
        <f t="shared" si="0"/>
        <v>〇橋〇愛</v>
      </c>
      <c r="C11" s="4" t="s">
        <v>524</v>
      </c>
      <c r="D11" s="6" t="str">
        <f t="shared" si="0"/>
        <v>〇橋 〇希</v>
      </c>
      <c r="E11" s="5">
        <v>42115</v>
      </c>
      <c r="F11" s="4" t="s">
        <v>505</v>
      </c>
      <c r="G11" s="4">
        <v>8551023743</v>
      </c>
      <c r="H11" s="4" t="s">
        <v>525</v>
      </c>
      <c r="I11" s="4" t="s">
        <v>526</v>
      </c>
      <c r="J11" s="4" t="str">
        <f t="shared" si="1"/>
        <v>072-655-5105</v>
      </c>
      <c r="K11" s="4" t="s">
        <v>508</v>
      </c>
    </row>
    <row r="12" spans="1:11" ht="15.95" customHeight="1" thickBot="1">
      <c r="A12" s="3" t="s">
        <v>364</v>
      </c>
      <c r="B12" s="6" t="str">
        <f t="shared" si="0"/>
        <v>〇藤 有〇美</v>
      </c>
      <c r="C12" s="4" t="s">
        <v>527</v>
      </c>
      <c r="D12" s="6" t="str">
        <f t="shared" si="0"/>
        <v>〇藤 〇祐</v>
      </c>
      <c r="E12" s="5">
        <v>41993</v>
      </c>
      <c r="F12" s="4" t="s">
        <v>505</v>
      </c>
      <c r="G12" s="4">
        <v>8551019725</v>
      </c>
      <c r="H12" s="4" t="s">
        <v>512</v>
      </c>
      <c r="I12" s="4" t="s">
        <v>528</v>
      </c>
      <c r="J12" s="4" t="str">
        <f t="shared" si="1"/>
        <v>072-629-4309</v>
      </c>
      <c r="K12" s="4" t="s">
        <v>508</v>
      </c>
    </row>
    <row r="13" spans="1:11" ht="15.95" customHeight="1" thickBot="1">
      <c r="A13" s="3" t="s">
        <v>275</v>
      </c>
      <c r="B13" s="6" t="str">
        <f t="shared" si="0"/>
        <v>〇西〇恵</v>
      </c>
      <c r="C13" s="4" t="s">
        <v>529</v>
      </c>
      <c r="D13" s="6" t="str">
        <f t="shared" si="0"/>
        <v>〇西 〇偉</v>
      </c>
      <c r="E13" s="5">
        <v>42278</v>
      </c>
      <c r="F13" s="4" t="s">
        <v>505</v>
      </c>
      <c r="G13" s="4">
        <v>8551025888</v>
      </c>
      <c r="H13" s="4" t="s">
        <v>530</v>
      </c>
      <c r="I13" s="4"/>
      <c r="J13" s="4" t="str">
        <f t="shared" si="1"/>
        <v/>
      </c>
      <c r="K13" s="4" t="s">
        <v>508</v>
      </c>
    </row>
    <row r="14" spans="1:11" ht="15.95" customHeight="1" thickBot="1">
      <c r="A14" s="3" t="s">
        <v>190</v>
      </c>
      <c r="B14" s="6" t="str">
        <f t="shared" si="0"/>
        <v>〇原 〇子</v>
      </c>
      <c r="C14" s="4" t="s">
        <v>531</v>
      </c>
      <c r="D14" s="6" t="str">
        <f t="shared" si="0"/>
        <v>〇原 蒼〇朗</v>
      </c>
      <c r="E14" s="5">
        <v>41875</v>
      </c>
      <c r="F14" s="4" t="s">
        <v>505</v>
      </c>
      <c r="G14" s="4">
        <v>8551019758</v>
      </c>
      <c r="H14" s="4" t="s">
        <v>506</v>
      </c>
      <c r="I14" s="4" t="s">
        <v>532</v>
      </c>
      <c r="J14" s="4" t="str">
        <f t="shared" si="1"/>
        <v>070-696-6301</v>
      </c>
      <c r="K14" s="4" t="s">
        <v>508</v>
      </c>
    </row>
    <row r="15" spans="1:11" ht="15.95" customHeight="1" thickBot="1">
      <c r="A15" s="3" t="s">
        <v>417</v>
      </c>
      <c r="B15" s="6" t="str">
        <f t="shared" si="0"/>
        <v>〇村 〇子</v>
      </c>
      <c r="C15" s="4" t="s">
        <v>533</v>
      </c>
      <c r="D15" s="6" t="str">
        <f t="shared" si="0"/>
        <v>〇村 〇人</v>
      </c>
      <c r="E15" s="5">
        <v>42400</v>
      </c>
      <c r="F15" s="4" t="s">
        <v>505</v>
      </c>
      <c r="G15" s="4">
        <v>8551030060</v>
      </c>
      <c r="H15" s="4" t="s">
        <v>516</v>
      </c>
      <c r="I15" s="4" t="s">
        <v>534</v>
      </c>
      <c r="J15" s="4" t="str">
        <f t="shared" si="1"/>
        <v>072-6283-305</v>
      </c>
      <c r="K15" s="4" t="s">
        <v>508</v>
      </c>
    </row>
    <row r="16" spans="1:11" ht="15.95" customHeight="1" thickBot="1">
      <c r="A16" s="3" t="s">
        <v>279</v>
      </c>
      <c r="B16" s="6" t="str">
        <f t="shared" si="0"/>
        <v>〇村 〇里</v>
      </c>
      <c r="C16" s="4" t="s">
        <v>535</v>
      </c>
      <c r="D16" s="6" t="str">
        <f t="shared" si="0"/>
        <v>〇村 〇輝</v>
      </c>
      <c r="E16" s="5">
        <v>39728</v>
      </c>
      <c r="F16" s="4" t="s">
        <v>505</v>
      </c>
      <c r="G16" s="4">
        <v>3100013873</v>
      </c>
      <c r="H16" s="4" t="s">
        <v>530</v>
      </c>
      <c r="I16" s="4" t="s">
        <v>536</v>
      </c>
      <c r="J16" s="4" t="str">
        <f t="shared" si="1"/>
        <v>080-0463-0807</v>
      </c>
      <c r="K16" s="4" t="s">
        <v>508</v>
      </c>
    </row>
    <row r="17" spans="1:11" ht="15.95" customHeight="1" thickBot="1">
      <c r="A17" s="3" t="s">
        <v>471</v>
      </c>
      <c r="B17" s="6" t="str">
        <f t="shared" si="0"/>
        <v>〇田 〇佳</v>
      </c>
      <c r="C17" s="4" t="s">
        <v>537</v>
      </c>
      <c r="D17" s="6" t="str">
        <f t="shared" si="0"/>
        <v>〇田 〇生</v>
      </c>
      <c r="E17" s="5">
        <v>42450</v>
      </c>
      <c r="F17" s="4" t="s">
        <v>505</v>
      </c>
      <c r="G17" s="4">
        <v>8551064465</v>
      </c>
      <c r="H17" s="4" t="s">
        <v>538</v>
      </c>
      <c r="I17" s="4"/>
      <c r="J17" s="4" t="str">
        <f t="shared" si="1"/>
        <v/>
      </c>
      <c r="K17" s="4" t="s">
        <v>508</v>
      </c>
    </row>
    <row r="18" spans="1:11" ht="15.95" customHeight="1" thickBot="1">
      <c r="A18" s="3" t="s">
        <v>455</v>
      </c>
      <c r="B18" s="6" t="str">
        <f t="shared" si="0"/>
        <v>〇部〇愛</v>
      </c>
      <c r="C18" s="4" t="s">
        <v>539</v>
      </c>
      <c r="D18" s="6" t="str">
        <f t="shared" si="0"/>
        <v>〇部 〇侑</v>
      </c>
      <c r="E18" s="5">
        <v>42045</v>
      </c>
      <c r="F18" s="4" t="s">
        <v>505</v>
      </c>
      <c r="G18" s="4">
        <v>8551026373</v>
      </c>
      <c r="H18" s="4" t="s">
        <v>519</v>
      </c>
      <c r="I18" s="4" t="s">
        <v>540</v>
      </c>
      <c r="J18" s="4" t="str">
        <f t="shared" si="1"/>
        <v>070-675-1704</v>
      </c>
      <c r="K18" s="4" t="s">
        <v>508</v>
      </c>
    </row>
    <row r="19" spans="1:11" ht="15.95" customHeight="1" thickBot="1">
      <c r="A19" s="3" t="s">
        <v>369</v>
      </c>
      <c r="B19" s="6" t="str">
        <f t="shared" si="0"/>
        <v>〇 〇子</v>
      </c>
      <c r="C19" s="4" t="s">
        <v>541</v>
      </c>
      <c r="D19" s="6" t="str">
        <f t="shared" si="0"/>
        <v>〇 〇希</v>
      </c>
      <c r="E19" s="5">
        <v>41609</v>
      </c>
      <c r="F19" s="4" t="s">
        <v>505</v>
      </c>
      <c r="G19" s="4">
        <v>8551022067</v>
      </c>
      <c r="H19" s="4" t="s">
        <v>512</v>
      </c>
      <c r="I19" s="4" t="s">
        <v>542</v>
      </c>
      <c r="J19" s="4" t="str">
        <f t="shared" si="1"/>
        <v>072-600-1802</v>
      </c>
      <c r="K19" s="4" t="s">
        <v>508</v>
      </c>
    </row>
    <row r="20" spans="1:11" ht="15.95" customHeight="1" thickBot="1">
      <c r="A20" s="3" t="s">
        <v>311</v>
      </c>
      <c r="B20" s="6" t="str">
        <f t="shared" si="0"/>
        <v>〇木 早〇合</v>
      </c>
      <c r="C20" s="4" t="s">
        <v>543</v>
      </c>
      <c r="D20" s="6" t="str">
        <f t="shared" si="0"/>
        <v>〇木 〇汰</v>
      </c>
      <c r="E20" s="5">
        <v>40485</v>
      </c>
      <c r="F20" s="4" t="s">
        <v>505</v>
      </c>
      <c r="G20" s="4">
        <v>8551013678</v>
      </c>
      <c r="H20" s="4" t="s">
        <v>510</v>
      </c>
      <c r="I20" s="4" t="s">
        <v>544</v>
      </c>
      <c r="J20" s="4" t="str">
        <f t="shared" si="1"/>
        <v>072-628-8109</v>
      </c>
      <c r="K20" s="4" t="s">
        <v>508</v>
      </c>
    </row>
    <row r="21" spans="1:11" ht="15.95" customHeight="1" thickBot="1">
      <c r="A21" s="3" t="s">
        <v>112</v>
      </c>
      <c r="B21" s="6" t="str">
        <f t="shared" si="0"/>
        <v>〇口 〇美</v>
      </c>
      <c r="C21" s="4" t="s">
        <v>545</v>
      </c>
      <c r="D21" s="6" t="str">
        <f t="shared" si="0"/>
        <v>〇口 〇己</v>
      </c>
      <c r="E21" s="5">
        <v>42529</v>
      </c>
      <c r="F21" s="4" t="s">
        <v>505</v>
      </c>
      <c r="G21" s="4">
        <v>8551025623</v>
      </c>
      <c r="H21" s="4" t="s">
        <v>514</v>
      </c>
      <c r="I21" s="4" t="s">
        <v>546</v>
      </c>
      <c r="J21" s="4" t="str">
        <f t="shared" si="1"/>
        <v>072-008-7005</v>
      </c>
      <c r="K21" s="4" t="s">
        <v>508</v>
      </c>
    </row>
    <row r="22" spans="1:11" ht="15.95" customHeight="1" thickBot="1">
      <c r="A22" s="3" t="s">
        <v>194</v>
      </c>
      <c r="B22" s="6" t="str">
        <f t="shared" si="0"/>
        <v>〇井 〇世</v>
      </c>
      <c r="C22" s="4" t="s">
        <v>547</v>
      </c>
      <c r="D22" s="6" t="str">
        <f t="shared" si="0"/>
        <v>〇井〇翔</v>
      </c>
      <c r="E22" s="5">
        <v>41489</v>
      </c>
      <c r="F22" s="4" t="s">
        <v>505</v>
      </c>
      <c r="G22" s="4">
        <v>8551016374</v>
      </c>
      <c r="H22" s="4" t="s">
        <v>506</v>
      </c>
      <c r="I22" s="4" t="s">
        <v>548</v>
      </c>
      <c r="J22" s="4" t="str">
        <f t="shared" si="1"/>
        <v>072-671-0903</v>
      </c>
      <c r="K22" s="4" t="s">
        <v>508</v>
      </c>
    </row>
    <row r="23" spans="1:11" ht="15.95" customHeight="1" thickBot="1">
      <c r="A23" s="3" t="s">
        <v>194</v>
      </c>
      <c r="B23" s="6" t="str">
        <f t="shared" si="0"/>
        <v>〇井 〇世</v>
      </c>
      <c r="C23" s="4" t="s">
        <v>549</v>
      </c>
      <c r="D23" s="6" t="str">
        <f t="shared" si="0"/>
        <v>〇井〇翼</v>
      </c>
      <c r="E23" s="5">
        <v>41489</v>
      </c>
      <c r="F23" s="4" t="s">
        <v>505</v>
      </c>
      <c r="G23" s="4">
        <v>8551016382</v>
      </c>
      <c r="H23" s="4" t="s">
        <v>506</v>
      </c>
      <c r="I23" s="4" t="s">
        <v>548</v>
      </c>
      <c r="J23" s="4" t="str">
        <f t="shared" si="1"/>
        <v>072-671-0903</v>
      </c>
      <c r="K23" s="4" t="s">
        <v>508</v>
      </c>
    </row>
    <row r="24" spans="1:11" ht="15.95" customHeight="1" thickBot="1">
      <c r="A24" s="3" t="s">
        <v>475</v>
      </c>
      <c r="B24" s="6" t="str">
        <f t="shared" si="0"/>
        <v>〇本〇恵</v>
      </c>
      <c r="C24" s="4" t="s">
        <v>550</v>
      </c>
      <c r="D24" s="6" t="str">
        <f t="shared" si="0"/>
        <v>〇本〇聖</v>
      </c>
      <c r="E24" s="5">
        <v>42082</v>
      </c>
      <c r="F24" s="4" t="s">
        <v>505</v>
      </c>
      <c r="G24" s="4">
        <v>8551019857</v>
      </c>
      <c r="H24" s="4" t="s">
        <v>538</v>
      </c>
      <c r="I24" s="4"/>
      <c r="J24" s="4" t="str">
        <f t="shared" si="1"/>
        <v/>
      </c>
      <c r="K24" s="4" t="s">
        <v>508</v>
      </c>
    </row>
    <row r="25" spans="1:11" ht="15.95" customHeight="1" thickBot="1">
      <c r="A25" s="3" t="s">
        <v>124</v>
      </c>
      <c r="B25" s="6" t="str">
        <f t="shared" si="0"/>
        <v>〇本 〇太</v>
      </c>
      <c r="C25" s="4" t="s">
        <v>551</v>
      </c>
      <c r="D25" s="6" t="str">
        <f t="shared" si="0"/>
        <v>〇本 〇希</v>
      </c>
      <c r="E25" s="5">
        <v>42206</v>
      </c>
      <c r="F25" s="4" t="s">
        <v>552</v>
      </c>
      <c r="G25" s="4">
        <v>5000032598</v>
      </c>
      <c r="H25" s="4" t="s">
        <v>553</v>
      </c>
      <c r="I25" s="4"/>
      <c r="J25" s="4" t="str">
        <f t="shared" si="1"/>
        <v/>
      </c>
      <c r="K25" s="4" t="s">
        <v>508</v>
      </c>
    </row>
    <row r="26" spans="1:11" ht="15.95" customHeight="1" thickBot="1">
      <c r="A26" s="3" t="s">
        <v>76</v>
      </c>
      <c r="B26" s="6" t="str">
        <f t="shared" si="0"/>
        <v>〇郷 〇佑</v>
      </c>
      <c r="C26" s="4" t="s">
        <v>554</v>
      </c>
      <c r="D26" s="6" t="str">
        <f t="shared" si="0"/>
        <v>〇郷 〇匠</v>
      </c>
      <c r="E26" s="5">
        <v>39946</v>
      </c>
      <c r="F26" s="4" t="s">
        <v>505</v>
      </c>
      <c r="G26" s="4">
        <v>8551024469</v>
      </c>
      <c r="H26" s="4" t="s">
        <v>555</v>
      </c>
      <c r="I26" s="4"/>
      <c r="J26" s="4" t="str">
        <f t="shared" si="1"/>
        <v/>
      </c>
      <c r="K26" s="4" t="s">
        <v>508</v>
      </c>
    </row>
    <row r="27" spans="1:11" ht="15.95" customHeight="1" thickBot="1">
      <c r="A27" s="3" t="s">
        <v>76</v>
      </c>
      <c r="B27" s="6" t="str">
        <f t="shared" si="0"/>
        <v>〇郷 〇佑</v>
      </c>
      <c r="C27" s="4" t="s">
        <v>556</v>
      </c>
      <c r="D27" s="6" t="str">
        <f t="shared" si="0"/>
        <v>〇郷 蔵〇介</v>
      </c>
      <c r="E27" s="5">
        <v>40537</v>
      </c>
      <c r="F27" s="4" t="s">
        <v>505</v>
      </c>
      <c r="G27" s="4">
        <v>8551024451</v>
      </c>
      <c r="H27" s="4" t="s">
        <v>512</v>
      </c>
      <c r="I27" s="4"/>
      <c r="J27" s="4" t="str">
        <f t="shared" si="1"/>
        <v/>
      </c>
      <c r="K27" s="4" t="s">
        <v>508</v>
      </c>
    </row>
    <row r="28" spans="1:11" ht="15.95" customHeight="1" thickBot="1">
      <c r="A28" s="3" t="s">
        <v>81</v>
      </c>
      <c r="B28" s="6" t="str">
        <f t="shared" si="0"/>
        <v>〇尾 〇宏</v>
      </c>
      <c r="C28" s="4" t="s">
        <v>557</v>
      </c>
      <c r="D28" s="6" t="str">
        <f t="shared" si="0"/>
        <v>〇尾 〇斗</v>
      </c>
      <c r="E28" s="5">
        <v>40675</v>
      </c>
      <c r="F28" s="4" t="s">
        <v>505</v>
      </c>
      <c r="G28" s="4">
        <v>8551011664</v>
      </c>
      <c r="H28" s="4" t="s">
        <v>555</v>
      </c>
      <c r="I28" s="4" t="s">
        <v>558</v>
      </c>
      <c r="J28" s="4" t="str">
        <f t="shared" si="1"/>
        <v>002-661-0100</v>
      </c>
      <c r="K28" s="4" t="s">
        <v>508</v>
      </c>
    </row>
    <row r="29" spans="1:11" ht="15.95" customHeight="1" thickBot="1">
      <c r="A29" s="3" t="s">
        <v>319</v>
      </c>
      <c r="B29" s="6" t="str">
        <f t="shared" si="0"/>
        <v>〇井 〇子</v>
      </c>
      <c r="C29" s="4" t="s">
        <v>559</v>
      </c>
      <c r="D29" s="6" t="str">
        <f t="shared" si="0"/>
        <v>〇井 〇弥</v>
      </c>
      <c r="E29" s="5">
        <v>42324</v>
      </c>
      <c r="F29" s="4" t="s">
        <v>505</v>
      </c>
      <c r="G29" s="4">
        <v>8551024022</v>
      </c>
      <c r="H29" s="4" t="s">
        <v>560</v>
      </c>
      <c r="I29" s="4" t="s">
        <v>561</v>
      </c>
      <c r="J29" s="4" t="str">
        <f t="shared" si="1"/>
        <v>072-093-4102</v>
      </c>
      <c r="K29" s="4" t="s">
        <v>508</v>
      </c>
    </row>
    <row r="30" spans="1:11" ht="15.95" customHeight="1" thickBot="1">
      <c r="A30" s="3" t="s">
        <v>379</v>
      </c>
      <c r="B30" s="6" t="str">
        <f t="shared" si="0"/>
        <v>〇岡 紀〇子</v>
      </c>
      <c r="C30" s="4" t="s">
        <v>562</v>
      </c>
      <c r="D30" s="6" t="str">
        <f t="shared" si="0"/>
        <v>〇岡 〇希</v>
      </c>
      <c r="E30" s="5">
        <v>42363</v>
      </c>
      <c r="F30" s="4" t="s">
        <v>505</v>
      </c>
      <c r="G30" s="4">
        <v>8551025151</v>
      </c>
      <c r="H30" s="4" t="s">
        <v>512</v>
      </c>
      <c r="I30" s="4"/>
      <c r="J30" s="4" t="str">
        <f t="shared" si="1"/>
        <v/>
      </c>
      <c r="K30" s="4" t="s">
        <v>508</v>
      </c>
    </row>
    <row r="31" spans="1:11" ht="15.95" customHeight="1" thickBot="1">
      <c r="A31" s="3" t="s">
        <v>86</v>
      </c>
      <c r="B31" s="6" t="str">
        <f t="shared" si="0"/>
        <v>〇田 み〇ほ</v>
      </c>
      <c r="C31" s="4" t="s">
        <v>563</v>
      </c>
      <c r="D31" s="6" t="str">
        <f t="shared" si="0"/>
        <v>〇田 〇希</v>
      </c>
      <c r="E31" s="5">
        <v>41053</v>
      </c>
      <c r="F31" s="4" t="s">
        <v>505</v>
      </c>
      <c r="G31" s="4">
        <v>8551022505</v>
      </c>
      <c r="H31" s="4" t="s">
        <v>555</v>
      </c>
      <c r="I31" s="4"/>
      <c r="J31" s="4" t="str">
        <f t="shared" si="1"/>
        <v/>
      </c>
      <c r="K31" s="4" t="s">
        <v>508</v>
      </c>
    </row>
    <row r="32" spans="1:11" ht="15.95" customHeight="1" thickBot="1">
      <c r="A32" s="3" t="s">
        <v>200</v>
      </c>
      <c r="B32" s="6" t="str">
        <f t="shared" si="0"/>
        <v>〇村 〇代</v>
      </c>
      <c r="C32" s="4" t="s">
        <v>564</v>
      </c>
      <c r="D32" s="6" t="str">
        <f t="shared" si="0"/>
        <v>〇村 〇道</v>
      </c>
      <c r="E32" s="5">
        <v>40470</v>
      </c>
      <c r="F32" s="4" t="s">
        <v>505</v>
      </c>
      <c r="G32" s="4">
        <v>8551056768</v>
      </c>
      <c r="H32" s="4" t="s">
        <v>530</v>
      </c>
      <c r="I32" s="4" t="s">
        <v>565</v>
      </c>
      <c r="J32" s="4" t="str">
        <f t="shared" si="1"/>
        <v>072-674-0306</v>
      </c>
      <c r="K32" s="4" t="s">
        <v>508</v>
      </c>
    </row>
    <row r="33" spans="1:11" ht="15.95" customHeight="1" thickBot="1">
      <c r="A33" s="3" t="s">
        <v>200</v>
      </c>
      <c r="B33" s="6" t="str">
        <f t="shared" si="0"/>
        <v>〇村 〇代</v>
      </c>
      <c r="C33" s="4" t="s">
        <v>566</v>
      </c>
      <c r="D33" s="6" t="str">
        <f t="shared" si="0"/>
        <v>〇村 〇花</v>
      </c>
      <c r="E33" s="5">
        <v>41504</v>
      </c>
      <c r="F33" s="4" t="s">
        <v>505</v>
      </c>
      <c r="G33" s="4">
        <v>8551058061</v>
      </c>
      <c r="H33" s="4" t="s">
        <v>506</v>
      </c>
      <c r="I33" s="4" t="s">
        <v>565</v>
      </c>
      <c r="J33" s="4" t="str">
        <f t="shared" si="1"/>
        <v>072-674-0306</v>
      </c>
      <c r="K33" s="4" t="s">
        <v>508</v>
      </c>
    </row>
    <row r="34" spans="1:11" ht="15.95" customHeight="1" thickBot="1">
      <c r="A34" s="3" t="s">
        <v>204</v>
      </c>
      <c r="B34" s="6" t="str">
        <f t="shared" si="0"/>
        <v>〇本 〇美</v>
      </c>
      <c r="C34" s="4" t="s">
        <v>567</v>
      </c>
      <c r="D34" s="6" t="str">
        <f t="shared" si="0"/>
        <v>〇本 〇佑</v>
      </c>
      <c r="E34" s="5">
        <v>41869</v>
      </c>
      <c r="F34" s="4" t="s">
        <v>505</v>
      </c>
      <c r="G34" s="4">
        <v>8551021952</v>
      </c>
      <c r="H34" s="4" t="s">
        <v>506</v>
      </c>
      <c r="I34" s="4">
        <v>726699797</v>
      </c>
      <c r="J34" s="4" t="str">
        <f t="shared" si="1"/>
        <v>026600707</v>
      </c>
      <c r="K34" s="4" t="s">
        <v>508</v>
      </c>
    </row>
    <row r="35" spans="1:11" ht="15.95" customHeight="1" thickBot="1">
      <c r="A35" s="3" t="s">
        <v>285</v>
      </c>
      <c r="B35" s="6" t="str">
        <f t="shared" si="0"/>
        <v>〇浦 〇美</v>
      </c>
      <c r="C35" s="4" t="s">
        <v>568</v>
      </c>
      <c r="D35" s="6" t="str">
        <f t="shared" si="0"/>
        <v>〇浦 峻〇朗</v>
      </c>
      <c r="E35" s="5">
        <v>41938</v>
      </c>
      <c r="F35" s="4" t="s">
        <v>505</v>
      </c>
      <c r="G35" s="4">
        <v>8551025110</v>
      </c>
      <c r="H35" s="4" t="s">
        <v>530</v>
      </c>
      <c r="I35" s="4"/>
      <c r="J35" s="4" t="str">
        <f t="shared" si="1"/>
        <v/>
      </c>
      <c r="K35" s="4" t="s">
        <v>508</v>
      </c>
    </row>
    <row r="36" spans="1:11" ht="15.95" customHeight="1" thickBot="1">
      <c r="A36" s="3" t="s">
        <v>244</v>
      </c>
      <c r="B36" s="6" t="str">
        <f t="shared" si="0"/>
        <v>〇仲 絵〇子</v>
      </c>
      <c r="C36" s="4" t="s">
        <v>569</v>
      </c>
      <c r="D36" s="6" t="str">
        <f t="shared" si="0"/>
        <v>〇仲 〇大</v>
      </c>
      <c r="E36" s="5">
        <v>42619</v>
      </c>
      <c r="F36" s="4" t="s">
        <v>505</v>
      </c>
      <c r="G36" s="4">
        <v>8551028023</v>
      </c>
      <c r="H36" s="4" t="s">
        <v>570</v>
      </c>
      <c r="I36" s="4"/>
      <c r="J36" s="4" t="str">
        <f t="shared" si="1"/>
        <v/>
      </c>
      <c r="K36" s="4" t="s">
        <v>508</v>
      </c>
    </row>
    <row r="37" spans="1:11" ht="15.95" customHeight="1" thickBot="1">
      <c r="A37" s="3" t="s">
        <v>116</v>
      </c>
      <c r="B37" s="6" t="str">
        <f t="shared" si="0"/>
        <v>〇山 〇美</v>
      </c>
      <c r="C37" s="4" t="s">
        <v>571</v>
      </c>
      <c r="D37" s="6" t="str">
        <f t="shared" si="0"/>
        <v>〇山 〇渡</v>
      </c>
      <c r="E37" s="5">
        <v>42548</v>
      </c>
      <c r="F37" s="4" t="s">
        <v>505</v>
      </c>
      <c r="G37" s="4">
        <v>8551034005</v>
      </c>
      <c r="H37" s="4" t="s">
        <v>514</v>
      </c>
      <c r="I37" s="4" t="s">
        <v>572</v>
      </c>
      <c r="J37" s="4" t="str">
        <f t="shared" si="1"/>
        <v>072-647-5403</v>
      </c>
      <c r="K37" s="4" t="s">
        <v>508</v>
      </c>
    </row>
    <row r="38" spans="1:11" ht="15.95" customHeight="1" thickBot="1">
      <c r="A38" s="3" t="s">
        <v>116</v>
      </c>
      <c r="B38" s="6" t="str">
        <f t="shared" si="0"/>
        <v>〇山 〇美</v>
      </c>
      <c r="C38" s="4" t="s">
        <v>573</v>
      </c>
      <c r="D38" s="6" t="str">
        <f t="shared" si="0"/>
        <v>〇山 〇美</v>
      </c>
      <c r="E38" s="5">
        <v>43168</v>
      </c>
      <c r="F38" s="4" t="s">
        <v>505</v>
      </c>
      <c r="G38" s="4">
        <v>8551034013</v>
      </c>
      <c r="H38" s="4" t="s">
        <v>538</v>
      </c>
      <c r="I38" s="4" t="s">
        <v>572</v>
      </c>
      <c r="J38" s="4" t="str">
        <f t="shared" si="1"/>
        <v>072-647-5403</v>
      </c>
      <c r="K38" s="4" t="s">
        <v>508</v>
      </c>
    </row>
    <row r="39" spans="1:11" ht="15.95" customHeight="1" thickBot="1">
      <c r="A39" s="3" t="s">
        <v>155</v>
      </c>
      <c r="B39" s="6" t="str">
        <f t="shared" si="0"/>
        <v>〇本 〇子</v>
      </c>
      <c r="C39" s="4" t="s">
        <v>574</v>
      </c>
      <c r="D39" s="6" t="str">
        <f t="shared" si="0"/>
        <v>〇本 〇詠</v>
      </c>
      <c r="E39" s="5">
        <v>41141</v>
      </c>
      <c r="F39" s="4" t="s">
        <v>505</v>
      </c>
      <c r="G39" s="4">
        <v>8551017554</v>
      </c>
      <c r="H39" s="4" t="s">
        <v>506</v>
      </c>
      <c r="I39" s="4"/>
      <c r="J39" s="4" t="str">
        <f t="shared" si="1"/>
        <v/>
      </c>
      <c r="K39" s="4" t="s">
        <v>508</v>
      </c>
    </row>
    <row r="40" spans="1:11" ht="15.95" customHeight="1" thickBot="1">
      <c r="A40" s="3" t="s">
        <v>155</v>
      </c>
      <c r="B40" s="6" t="str">
        <f t="shared" si="0"/>
        <v>〇本 〇子</v>
      </c>
      <c r="C40" s="4" t="s">
        <v>575</v>
      </c>
      <c r="D40" s="6" t="str">
        <f t="shared" si="0"/>
        <v>〇本 〇翔</v>
      </c>
      <c r="E40" s="5">
        <v>41837</v>
      </c>
      <c r="F40" s="4" t="s">
        <v>505</v>
      </c>
      <c r="G40" s="4">
        <v>8551028254</v>
      </c>
      <c r="H40" s="4" t="s">
        <v>576</v>
      </c>
      <c r="I40" s="4"/>
      <c r="J40" s="4" t="str">
        <f t="shared" si="1"/>
        <v/>
      </c>
      <c r="K40" s="4" t="s">
        <v>508</v>
      </c>
    </row>
    <row r="41" spans="1:11" ht="15.95" customHeight="1" thickBot="1">
      <c r="A41" s="3" t="s">
        <v>383</v>
      </c>
      <c r="B41" s="6" t="str">
        <f t="shared" si="0"/>
        <v>〇本 ち〇ろ</v>
      </c>
      <c r="C41" s="4" t="s">
        <v>577</v>
      </c>
      <c r="D41" s="6" t="str">
        <f t="shared" si="0"/>
        <v>〇本 〇哉</v>
      </c>
      <c r="E41" s="5">
        <v>40163</v>
      </c>
      <c r="F41" s="4" t="s">
        <v>505</v>
      </c>
      <c r="G41" s="4">
        <v>8551017026</v>
      </c>
      <c r="H41" s="4" t="s">
        <v>512</v>
      </c>
      <c r="I41" s="4"/>
      <c r="J41" s="4" t="str">
        <f t="shared" si="1"/>
        <v/>
      </c>
      <c r="K41" s="4" t="s">
        <v>508</v>
      </c>
    </row>
    <row r="42" spans="1:11" ht="15.95" customHeight="1" thickBot="1">
      <c r="A42" s="3" t="s">
        <v>315</v>
      </c>
      <c r="B42" s="6" t="str">
        <f t="shared" si="0"/>
        <v>〇井 〇江</v>
      </c>
      <c r="C42" s="4" t="s">
        <v>578</v>
      </c>
      <c r="D42" s="6" t="str">
        <f t="shared" si="0"/>
        <v>〇井 〇磨</v>
      </c>
      <c r="E42" s="5">
        <v>41233</v>
      </c>
      <c r="F42" s="4" t="s">
        <v>505</v>
      </c>
      <c r="G42" s="4">
        <v>8551017950</v>
      </c>
      <c r="H42" s="4" t="s">
        <v>510</v>
      </c>
      <c r="I42" s="4"/>
      <c r="J42" s="4" t="str">
        <f t="shared" si="1"/>
        <v/>
      </c>
      <c r="K42" s="4" t="s">
        <v>508</v>
      </c>
    </row>
    <row r="43" spans="1:11" ht="15.95" customHeight="1" thickBot="1">
      <c r="A43" s="3" t="s">
        <v>482</v>
      </c>
      <c r="B43" s="6" t="str">
        <f t="shared" si="0"/>
        <v>〇岡 〇子</v>
      </c>
      <c r="C43" s="4" t="s">
        <v>579</v>
      </c>
      <c r="D43" s="6" t="str">
        <f t="shared" si="0"/>
        <v>〇岡 〇星</v>
      </c>
      <c r="E43" s="5">
        <v>40996</v>
      </c>
      <c r="F43" s="4" t="s">
        <v>505</v>
      </c>
      <c r="G43" s="4">
        <v>8551062360</v>
      </c>
      <c r="H43" s="4" t="s">
        <v>538</v>
      </c>
      <c r="I43" s="4" t="s">
        <v>580</v>
      </c>
      <c r="J43" s="4" t="str">
        <f t="shared" si="1"/>
        <v>080-3801-6905</v>
      </c>
      <c r="K43" s="4" t="s">
        <v>508</v>
      </c>
    </row>
    <row r="44" spans="1:11" ht="15.95" customHeight="1" thickBot="1">
      <c r="A44" s="3" t="s">
        <v>120</v>
      </c>
      <c r="B44" s="6" t="str">
        <f t="shared" si="0"/>
        <v>〇口 〇恵</v>
      </c>
      <c r="C44" s="4" t="s">
        <v>581</v>
      </c>
      <c r="D44" s="6" t="str">
        <f t="shared" si="0"/>
        <v>〇口〇岳</v>
      </c>
      <c r="E44" s="5">
        <v>42178</v>
      </c>
      <c r="F44" s="4" t="s">
        <v>505</v>
      </c>
      <c r="G44" s="4">
        <v>8551052338</v>
      </c>
      <c r="H44" s="4" t="s">
        <v>514</v>
      </c>
      <c r="I44" s="4"/>
      <c r="J44" s="4" t="str">
        <f t="shared" si="1"/>
        <v/>
      </c>
      <c r="K44" s="4" t="s">
        <v>508</v>
      </c>
    </row>
    <row r="45" spans="1:11" ht="15.95" customHeight="1" thickBot="1">
      <c r="A45" s="3" t="s">
        <v>251</v>
      </c>
      <c r="B45" s="6" t="str">
        <f t="shared" si="0"/>
        <v>〇口 〇子</v>
      </c>
      <c r="C45" s="4" t="s">
        <v>582</v>
      </c>
      <c r="D45" s="6" t="str">
        <f t="shared" si="0"/>
        <v>〇口 〇舞</v>
      </c>
      <c r="E45" s="5">
        <v>41575</v>
      </c>
      <c r="F45" s="4" t="s">
        <v>505</v>
      </c>
      <c r="G45" s="4">
        <v>8551069183</v>
      </c>
      <c r="H45" s="4" t="s">
        <v>583</v>
      </c>
      <c r="I45" s="4"/>
      <c r="J45" s="4" t="str">
        <f t="shared" si="1"/>
        <v/>
      </c>
      <c r="K45" s="4" t="s">
        <v>508</v>
      </c>
    </row>
    <row r="46" spans="1:11" ht="15.95" customHeight="1" thickBot="1">
      <c r="A46" s="3" t="s">
        <v>90</v>
      </c>
      <c r="B46" s="6" t="str">
        <f t="shared" si="0"/>
        <v>〇本 木〇子</v>
      </c>
      <c r="C46" s="4" t="s">
        <v>584</v>
      </c>
      <c r="D46" s="6" t="str">
        <f t="shared" si="0"/>
        <v>〇本 〇成</v>
      </c>
      <c r="E46" s="5">
        <v>42137</v>
      </c>
      <c r="F46" s="4" t="s">
        <v>505</v>
      </c>
      <c r="G46" s="4">
        <v>8551024170</v>
      </c>
      <c r="H46" s="4" t="s">
        <v>555</v>
      </c>
      <c r="I46" s="4" t="s">
        <v>585</v>
      </c>
      <c r="J46" s="4" t="str">
        <f t="shared" si="1"/>
        <v>072-690-7209</v>
      </c>
      <c r="K46" s="4" t="s">
        <v>508</v>
      </c>
    </row>
    <row r="47" spans="1:11" ht="15.95" customHeight="1" thickBot="1">
      <c r="A47" s="3" t="s">
        <v>210</v>
      </c>
      <c r="B47" s="6" t="str">
        <f t="shared" si="0"/>
        <v>〇田〇恵</v>
      </c>
      <c r="C47" s="4" t="s">
        <v>586</v>
      </c>
      <c r="D47" s="6" t="str">
        <f t="shared" si="0"/>
        <v>〇田〇航</v>
      </c>
      <c r="E47" s="5">
        <v>42247</v>
      </c>
      <c r="F47" s="4" t="s">
        <v>505</v>
      </c>
      <c r="G47" s="4">
        <v>8551025383</v>
      </c>
      <c r="H47" s="4" t="s">
        <v>506</v>
      </c>
      <c r="I47" s="4" t="s">
        <v>587</v>
      </c>
      <c r="J47" s="4" t="str">
        <f t="shared" si="1"/>
        <v>072-629-1006</v>
      </c>
      <c r="K47" s="4" t="s">
        <v>508</v>
      </c>
    </row>
    <row r="48" spans="1:11" ht="15.95" customHeight="1" thickBot="1">
      <c r="A48" s="3" t="s">
        <v>214</v>
      </c>
      <c r="B48" s="6" t="str">
        <f t="shared" si="0"/>
        <v>〇之内 〇美</v>
      </c>
      <c r="C48" s="4" t="s">
        <v>588</v>
      </c>
      <c r="D48" s="6" t="str">
        <f t="shared" si="0"/>
        <v>〇之内 〇樹</v>
      </c>
      <c r="E48" s="5">
        <v>42231</v>
      </c>
      <c r="F48" s="4" t="s">
        <v>505</v>
      </c>
      <c r="G48" s="4">
        <v>8551061537</v>
      </c>
      <c r="H48" s="4" t="s">
        <v>506</v>
      </c>
      <c r="I48" s="4"/>
      <c r="J48" s="4" t="str">
        <f t="shared" si="1"/>
        <v/>
      </c>
      <c r="K48" s="4" t="s">
        <v>508</v>
      </c>
    </row>
    <row r="49" spans="1:11" ht="15.95" customHeight="1" thickBot="1">
      <c r="A49" s="3" t="s">
        <v>388</v>
      </c>
      <c r="B49" s="6" t="str">
        <f t="shared" si="0"/>
        <v>〇本 〇史</v>
      </c>
      <c r="C49" s="4" t="s">
        <v>589</v>
      </c>
      <c r="D49" s="6" t="str">
        <f t="shared" si="0"/>
        <v>〇本 海〇朗</v>
      </c>
      <c r="E49" s="5">
        <v>42034</v>
      </c>
      <c r="F49" s="4" t="s">
        <v>552</v>
      </c>
      <c r="G49" s="4">
        <v>5000027853</v>
      </c>
      <c r="H49" s="4" t="s">
        <v>512</v>
      </c>
      <c r="I49" s="4"/>
      <c r="J49" s="4" t="str">
        <f t="shared" si="1"/>
        <v/>
      </c>
      <c r="K49" s="4" t="s">
        <v>508</v>
      </c>
    </row>
    <row r="50" spans="1:11" ht="15.95" customHeight="1" thickBot="1">
      <c r="A50" s="3" t="s">
        <v>159</v>
      </c>
      <c r="B50" s="6" t="str">
        <f t="shared" si="0"/>
        <v>〇邉 智〇子</v>
      </c>
      <c r="C50" s="4" t="s">
        <v>590</v>
      </c>
      <c r="D50" s="6" t="str">
        <f t="shared" si="0"/>
        <v>〇邉〇尊</v>
      </c>
      <c r="E50" s="5">
        <v>41458</v>
      </c>
      <c r="F50" s="4" t="s">
        <v>505</v>
      </c>
      <c r="G50" s="4">
        <v>8551013009</v>
      </c>
      <c r="H50" s="4" t="s">
        <v>576</v>
      </c>
      <c r="I50" s="4" t="s">
        <v>591</v>
      </c>
      <c r="J50" s="4" t="str">
        <f t="shared" si="1"/>
        <v>072-695-0500</v>
      </c>
      <c r="K50" s="4" t="s">
        <v>508</v>
      </c>
    </row>
    <row r="51" spans="1:11" ht="15.95" customHeight="1" thickBot="1">
      <c r="A51" s="3" t="s">
        <v>186</v>
      </c>
      <c r="B51" s="6" t="str">
        <f t="shared" si="0"/>
        <v>〇柳〇綾</v>
      </c>
      <c r="C51" s="4" t="s">
        <v>504</v>
      </c>
      <c r="D51" s="6" t="str">
        <f t="shared" si="0"/>
        <v>〇柳 〇輝</v>
      </c>
      <c r="E51" s="5">
        <v>40397</v>
      </c>
      <c r="F51" s="4" t="s">
        <v>505</v>
      </c>
      <c r="G51" s="4">
        <v>8551005401</v>
      </c>
      <c r="H51" s="4" t="s">
        <v>506</v>
      </c>
      <c r="I51" s="4" t="s">
        <v>507</v>
      </c>
      <c r="J51" s="4" t="str">
        <f t="shared" si="1"/>
        <v>072-671-4804</v>
      </c>
      <c r="K51" s="4" t="s">
        <v>508</v>
      </c>
    </row>
    <row r="52" spans="1:11" ht="15.95" customHeight="1" thickBot="1">
      <c r="A52" s="3" t="s">
        <v>307</v>
      </c>
      <c r="B52" s="6" t="str">
        <f t="shared" si="0"/>
        <v>〇山 〇菜</v>
      </c>
      <c r="C52" s="4" t="s">
        <v>509</v>
      </c>
      <c r="D52" s="6" t="str">
        <f t="shared" si="0"/>
        <v>〇山 紘〇朗</v>
      </c>
      <c r="E52" s="5">
        <v>40493</v>
      </c>
      <c r="F52" s="4" t="s">
        <v>505</v>
      </c>
      <c r="G52" s="4">
        <v>8551005179</v>
      </c>
      <c r="H52" s="4" t="s">
        <v>510</v>
      </c>
      <c r="I52" s="4"/>
      <c r="J52" s="4" t="str">
        <f t="shared" si="1"/>
        <v/>
      </c>
      <c r="K52" s="4" t="s">
        <v>508</v>
      </c>
    </row>
    <row r="53" spans="1:11" ht="15.95" customHeight="1" thickBot="1">
      <c r="A53" s="3" t="s">
        <v>356</v>
      </c>
      <c r="B53" s="6" t="str">
        <f t="shared" si="0"/>
        <v>〇 〇沙</v>
      </c>
      <c r="C53" s="4" t="s">
        <v>511</v>
      </c>
      <c r="D53" s="6" t="str">
        <f t="shared" si="0"/>
        <v>〇 航〇朗</v>
      </c>
      <c r="E53" s="5">
        <v>41634</v>
      </c>
      <c r="F53" s="4" t="s">
        <v>505</v>
      </c>
      <c r="G53" s="4">
        <v>8551026563</v>
      </c>
      <c r="H53" s="4" t="s">
        <v>512</v>
      </c>
      <c r="I53" s="4"/>
      <c r="J53" s="4" t="str">
        <f t="shared" si="1"/>
        <v/>
      </c>
      <c r="K53" s="4" t="s">
        <v>508</v>
      </c>
    </row>
    <row r="54" spans="1:11" ht="15.95" customHeight="1" thickBot="1">
      <c r="A54" s="3" t="s">
        <v>108</v>
      </c>
      <c r="B54" s="6" t="str">
        <f t="shared" si="0"/>
        <v>〇迫〇愛</v>
      </c>
      <c r="C54" s="4" t="s">
        <v>513</v>
      </c>
      <c r="D54" s="6" t="str">
        <f t="shared" si="0"/>
        <v>〇迫〇紡</v>
      </c>
      <c r="E54" s="5">
        <v>42179</v>
      </c>
      <c r="F54" s="4" t="s">
        <v>505</v>
      </c>
      <c r="G54" s="4">
        <v>8551025862</v>
      </c>
      <c r="H54" s="4" t="s">
        <v>514</v>
      </c>
      <c r="I54" s="4"/>
      <c r="J54" s="4" t="str">
        <f t="shared" si="1"/>
        <v/>
      </c>
      <c r="K54" s="4" t="s">
        <v>508</v>
      </c>
    </row>
    <row r="55" spans="1:11" ht="15.95" customHeight="1" thickBot="1">
      <c r="A55" s="3" t="s">
        <v>413</v>
      </c>
      <c r="B55" s="6" t="str">
        <f t="shared" si="0"/>
        <v>〇本 〇子</v>
      </c>
      <c r="C55" s="4" t="s">
        <v>515</v>
      </c>
      <c r="D55" s="6" t="str">
        <f t="shared" si="0"/>
        <v>〇本 〇真</v>
      </c>
      <c r="E55" s="5">
        <v>39472</v>
      </c>
      <c r="F55" s="4" t="s">
        <v>505</v>
      </c>
      <c r="G55" s="4">
        <v>8551010047</v>
      </c>
      <c r="H55" s="4" t="s">
        <v>516</v>
      </c>
      <c r="I55" s="4" t="s">
        <v>517</v>
      </c>
      <c r="J55" s="4" t="str">
        <f t="shared" si="1"/>
        <v>072-675-1306</v>
      </c>
      <c r="K55" s="4" t="s">
        <v>508</v>
      </c>
    </row>
    <row r="56" spans="1:11" ht="15.95" customHeight="1" thickBot="1">
      <c r="A56" s="3" t="s">
        <v>449</v>
      </c>
      <c r="B56" s="6" t="str">
        <f t="shared" si="0"/>
        <v>〇山 〇子</v>
      </c>
      <c r="C56" s="4" t="s">
        <v>518</v>
      </c>
      <c r="D56" s="6" t="str">
        <f t="shared" si="0"/>
        <v>〇山 〇弥</v>
      </c>
      <c r="E56" s="5">
        <v>42429</v>
      </c>
      <c r="F56" s="4" t="s">
        <v>505</v>
      </c>
      <c r="G56" s="4">
        <v>8551026910</v>
      </c>
      <c r="H56" s="4" t="s">
        <v>519</v>
      </c>
      <c r="I56" s="4" t="s">
        <v>520</v>
      </c>
      <c r="J56" s="4" t="str">
        <f t="shared" si="1"/>
        <v>072-620-0204</v>
      </c>
      <c r="K56" s="4" t="s">
        <v>508</v>
      </c>
    </row>
    <row r="57" spans="1:11" ht="15.95" customHeight="1" thickBot="1">
      <c r="A57" s="3" t="s">
        <v>360</v>
      </c>
      <c r="B57" s="6" t="str">
        <f t="shared" si="0"/>
        <v>〇岡 〇子</v>
      </c>
      <c r="C57" s="4" t="s">
        <v>521</v>
      </c>
      <c r="D57" s="6" t="str">
        <f t="shared" si="0"/>
        <v>〇岡 〇希</v>
      </c>
      <c r="E57" s="5">
        <v>41611</v>
      </c>
      <c r="F57" s="4" t="s">
        <v>505</v>
      </c>
      <c r="G57" s="4">
        <v>8551025409</v>
      </c>
      <c r="H57" s="4" t="s">
        <v>512</v>
      </c>
      <c r="I57" s="4" t="s">
        <v>522</v>
      </c>
      <c r="J57" s="4" t="str">
        <f t="shared" si="1"/>
        <v>072-628-4308</v>
      </c>
      <c r="K57" s="4" t="s">
        <v>508</v>
      </c>
    </row>
    <row r="58" spans="1:11" ht="15.95" customHeight="1" thickBot="1">
      <c r="A58" s="3" t="s">
        <v>360</v>
      </c>
      <c r="B58" s="6" t="str">
        <f t="shared" si="0"/>
        <v>〇岡 〇子</v>
      </c>
      <c r="C58" s="4" t="s">
        <v>523</v>
      </c>
      <c r="D58" s="6" t="str">
        <f t="shared" si="0"/>
        <v>〇岡〇雫</v>
      </c>
      <c r="E58" s="5">
        <v>42419</v>
      </c>
      <c r="F58" s="4" t="s">
        <v>505</v>
      </c>
      <c r="G58" s="4">
        <v>8551070207</v>
      </c>
      <c r="H58" s="4" t="s">
        <v>519</v>
      </c>
      <c r="I58" s="4" t="s">
        <v>522</v>
      </c>
      <c r="J58" s="4" t="str">
        <f t="shared" si="1"/>
        <v>072-628-4308</v>
      </c>
      <c r="K58" s="4" t="s">
        <v>508</v>
      </c>
    </row>
    <row r="59" spans="1:11" ht="15.95" customHeight="1" thickBot="1">
      <c r="A59" s="3" t="s">
        <v>487</v>
      </c>
      <c r="B59" s="6" t="str">
        <f t="shared" si="0"/>
        <v>〇橋〇愛</v>
      </c>
      <c r="C59" s="4" t="s">
        <v>524</v>
      </c>
      <c r="D59" s="6" t="str">
        <f t="shared" si="0"/>
        <v>〇橋 〇希</v>
      </c>
      <c r="E59" s="5">
        <v>42115</v>
      </c>
      <c r="F59" s="4" t="s">
        <v>505</v>
      </c>
      <c r="G59" s="4">
        <v>8551023743</v>
      </c>
      <c r="H59" s="4" t="s">
        <v>525</v>
      </c>
      <c r="I59" s="4" t="s">
        <v>526</v>
      </c>
      <c r="J59" s="4" t="str">
        <f t="shared" si="1"/>
        <v>072-655-5105</v>
      </c>
      <c r="K59" s="4" t="s">
        <v>508</v>
      </c>
    </row>
    <row r="60" spans="1:11" ht="15.95" customHeight="1" thickBot="1">
      <c r="A60" s="3" t="s">
        <v>364</v>
      </c>
      <c r="B60" s="6" t="str">
        <f t="shared" si="0"/>
        <v>〇藤 有〇美</v>
      </c>
      <c r="C60" s="4" t="s">
        <v>527</v>
      </c>
      <c r="D60" s="6" t="str">
        <f t="shared" si="0"/>
        <v>〇藤 〇祐</v>
      </c>
      <c r="E60" s="5">
        <v>41993</v>
      </c>
      <c r="F60" s="4" t="s">
        <v>505</v>
      </c>
      <c r="G60" s="4">
        <v>8551019725</v>
      </c>
      <c r="H60" s="4" t="s">
        <v>512</v>
      </c>
      <c r="I60" s="4" t="s">
        <v>528</v>
      </c>
      <c r="J60" s="4" t="str">
        <f t="shared" si="1"/>
        <v>072-629-4309</v>
      </c>
      <c r="K60" s="4" t="s">
        <v>508</v>
      </c>
    </row>
    <row r="61" spans="1:11" ht="15.95" customHeight="1" thickBot="1">
      <c r="A61" s="3" t="s">
        <v>275</v>
      </c>
      <c r="B61" s="6" t="str">
        <f t="shared" si="0"/>
        <v>〇西〇恵</v>
      </c>
      <c r="C61" s="4" t="s">
        <v>529</v>
      </c>
      <c r="D61" s="6" t="str">
        <f t="shared" si="0"/>
        <v>〇西 〇偉</v>
      </c>
      <c r="E61" s="5">
        <v>42278</v>
      </c>
      <c r="F61" s="4" t="s">
        <v>505</v>
      </c>
      <c r="G61" s="4">
        <v>8551025888</v>
      </c>
      <c r="H61" s="4" t="s">
        <v>530</v>
      </c>
      <c r="I61" s="4"/>
      <c r="J61" s="4" t="str">
        <f t="shared" si="1"/>
        <v/>
      </c>
      <c r="K61" s="4" t="s">
        <v>508</v>
      </c>
    </row>
    <row r="62" spans="1:11" ht="15.95" customHeight="1" thickBot="1">
      <c r="A62" s="3" t="s">
        <v>190</v>
      </c>
      <c r="B62" s="6" t="str">
        <f t="shared" si="0"/>
        <v>〇原 〇子</v>
      </c>
      <c r="C62" s="4" t="s">
        <v>531</v>
      </c>
      <c r="D62" s="6" t="str">
        <f t="shared" si="0"/>
        <v>〇原 蒼〇朗</v>
      </c>
      <c r="E62" s="5">
        <v>41875</v>
      </c>
      <c r="F62" s="4" t="s">
        <v>505</v>
      </c>
      <c r="G62" s="4">
        <v>8551019758</v>
      </c>
      <c r="H62" s="4" t="s">
        <v>506</v>
      </c>
      <c r="I62" s="4" t="s">
        <v>532</v>
      </c>
      <c r="J62" s="4" t="str">
        <f t="shared" si="1"/>
        <v>070-696-6301</v>
      </c>
      <c r="K62" s="4" t="s">
        <v>508</v>
      </c>
    </row>
    <row r="63" spans="1:11" ht="15.95" customHeight="1" thickBot="1">
      <c r="A63" s="3" t="s">
        <v>417</v>
      </c>
      <c r="B63" s="6" t="str">
        <f t="shared" si="0"/>
        <v>〇村 〇子</v>
      </c>
      <c r="C63" s="4" t="s">
        <v>533</v>
      </c>
      <c r="D63" s="6" t="str">
        <f t="shared" si="0"/>
        <v>〇村 〇人</v>
      </c>
      <c r="E63" s="5">
        <v>42400</v>
      </c>
      <c r="F63" s="4" t="s">
        <v>505</v>
      </c>
      <c r="G63" s="4">
        <v>8551030060</v>
      </c>
      <c r="H63" s="4" t="s">
        <v>516</v>
      </c>
      <c r="I63" s="4" t="s">
        <v>534</v>
      </c>
      <c r="J63" s="4" t="str">
        <f t="shared" si="1"/>
        <v>072-6283-305</v>
      </c>
      <c r="K63" s="4" t="s">
        <v>508</v>
      </c>
    </row>
    <row r="64" spans="1:11" ht="15.95" customHeight="1" thickBot="1">
      <c r="A64" s="3" t="s">
        <v>279</v>
      </c>
      <c r="B64" s="6" t="str">
        <f t="shared" si="0"/>
        <v>〇村 〇里</v>
      </c>
      <c r="C64" s="4" t="s">
        <v>535</v>
      </c>
      <c r="D64" s="6" t="str">
        <f t="shared" si="0"/>
        <v>〇村 〇輝</v>
      </c>
      <c r="E64" s="5">
        <v>39728</v>
      </c>
      <c r="F64" s="4" t="s">
        <v>505</v>
      </c>
      <c r="G64" s="4">
        <v>3100013873</v>
      </c>
      <c r="H64" s="4" t="s">
        <v>530</v>
      </c>
      <c r="I64" s="4" t="s">
        <v>536</v>
      </c>
      <c r="J64" s="4" t="str">
        <f t="shared" si="1"/>
        <v>080-0463-0807</v>
      </c>
      <c r="K64" s="4" t="s">
        <v>508</v>
      </c>
    </row>
    <row r="65" spans="1:11" ht="15.95" customHeight="1" thickBot="1">
      <c r="A65" s="3" t="s">
        <v>471</v>
      </c>
      <c r="B65" s="6" t="str">
        <f t="shared" si="0"/>
        <v>〇田 〇佳</v>
      </c>
      <c r="C65" s="4" t="s">
        <v>537</v>
      </c>
      <c r="D65" s="6" t="str">
        <f t="shared" si="0"/>
        <v>〇田 〇生</v>
      </c>
      <c r="E65" s="5">
        <v>42450</v>
      </c>
      <c r="F65" s="4" t="s">
        <v>505</v>
      </c>
      <c r="G65" s="4">
        <v>8551064465</v>
      </c>
      <c r="H65" s="4" t="s">
        <v>538</v>
      </c>
      <c r="I65" s="4"/>
      <c r="J65" s="4" t="str">
        <f t="shared" si="1"/>
        <v/>
      </c>
      <c r="K65" s="4" t="s">
        <v>508</v>
      </c>
    </row>
    <row r="66" spans="1:11" ht="15.95" customHeight="1" thickBot="1">
      <c r="A66" s="3" t="s">
        <v>455</v>
      </c>
      <c r="B66" s="6" t="str">
        <f t="shared" si="0"/>
        <v>〇部〇愛</v>
      </c>
      <c r="C66" s="4" t="s">
        <v>539</v>
      </c>
      <c r="D66" s="6" t="str">
        <f t="shared" si="0"/>
        <v>〇部 〇侑</v>
      </c>
      <c r="E66" s="5">
        <v>42045</v>
      </c>
      <c r="F66" s="4" t="s">
        <v>505</v>
      </c>
      <c r="G66" s="4">
        <v>8551026373</v>
      </c>
      <c r="H66" s="4" t="s">
        <v>519</v>
      </c>
      <c r="I66" s="4" t="s">
        <v>540</v>
      </c>
      <c r="J66" s="4" t="str">
        <f t="shared" si="1"/>
        <v>070-675-1704</v>
      </c>
      <c r="K66" s="4" t="s">
        <v>508</v>
      </c>
    </row>
    <row r="67" spans="1:11" ht="15.95" customHeight="1" thickBot="1">
      <c r="A67" s="3" t="s">
        <v>369</v>
      </c>
      <c r="B67" s="6" t="str">
        <f t="shared" si="0"/>
        <v>〇 〇子</v>
      </c>
      <c r="C67" s="4" t="s">
        <v>541</v>
      </c>
      <c r="D67" s="6" t="str">
        <f t="shared" ref="B67:D98" si="2">SUBSTITUTE(REPLACE(C67,1,1,"〇"),MID(C67,LEN(C67)-1,1),"〇")</f>
        <v>〇 〇希</v>
      </c>
      <c r="E67" s="5">
        <v>41609</v>
      </c>
      <c r="F67" s="4" t="s">
        <v>505</v>
      </c>
      <c r="G67" s="4">
        <v>8551022067</v>
      </c>
      <c r="H67" s="4" t="s">
        <v>512</v>
      </c>
      <c r="I67" s="4" t="s">
        <v>542</v>
      </c>
      <c r="J67" s="4" t="str">
        <f t="shared" si="1"/>
        <v>072-600-1802</v>
      </c>
      <c r="K67" s="4" t="s">
        <v>508</v>
      </c>
    </row>
    <row r="68" spans="1:11" ht="15.95" customHeight="1" thickBot="1">
      <c r="A68" s="3" t="s">
        <v>311</v>
      </c>
      <c r="B68" s="6" t="str">
        <f t="shared" si="2"/>
        <v>〇木 早〇合</v>
      </c>
      <c r="C68" s="4" t="s">
        <v>543</v>
      </c>
      <c r="D68" s="6" t="str">
        <f t="shared" si="2"/>
        <v>〇木 〇汰</v>
      </c>
      <c r="E68" s="5">
        <v>40485</v>
      </c>
      <c r="F68" s="4" t="s">
        <v>505</v>
      </c>
      <c r="G68" s="4">
        <v>8551013678</v>
      </c>
      <c r="H68" s="4" t="s">
        <v>510</v>
      </c>
      <c r="I68" s="4" t="s">
        <v>544</v>
      </c>
      <c r="J68" s="4" t="str">
        <f t="shared" ref="J68:J98" si="3">IF(I68&lt;&gt;"",SUBSTITUTE(REPLACE(I68,1,1,"0"),MID(I68,LEN(I68)-1,1),"0"),"")</f>
        <v>072-628-8109</v>
      </c>
      <c r="K68" s="4" t="s">
        <v>508</v>
      </c>
    </row>
    <row r="69" spans="1:11" ht="15.95" customHeight="1" thickBot="1">
      <c r="A69" s="3" t="s">
        <v>112</v>
      </c>
      <c r="B69" s="6" t="str">
        <f t="shared" si="2"/>
        <v>〇口 〇美</v>
      </c>
      <c r="C69" s="4" t="s">
        <v>545</v>
      </c>
      <c r="D69" s="6" t="str">
        <f t="shared" si="2"/>
        <v>〇口 〇己</v>
      </c>
      <c r="E69" s="5">
        <v>42529</v>
      </c>
      <c r="F69" s="4" t="s">
        <v>505</v>
      </c>
      <c r="G69" s="4">
        <v>8551025623</v>
      </c>
      <c r="H69" s="4" t="s">
        <v>514</v>
      </c>
      <c r="I69" s="4" t="s">
        <v>546</v>
      </c>
      <c r="J69" s="4" t="str">
        <f t="shared" si="3"/>
        <v>072-008-7005</v>
      </c>
      <c r="K69" s="4" t="s">
        <v>508</v>
      </c>
    </row>
    <row r="70" spans="1:11" ht="15.95" customHeight="1" thickBot="1">
      <c r="A70" s="3" t="s">
        <v>194</v>
      </c>
      <c r="B70" s="6" t="str">
        <f t="shared" si="2"/>
        <v>〇井 〇世</v>
      </c>
      <c r="C70" s="4" t="s">
        <v>547</v>
      </c>
      <c r="D70" s="6" t="str">
        <f t="shared" si="2"/>
        <v>〇井〇翔</v>
      </c>
      <c r="E70" s="5">
        <v>41489</v>
      </c>
      <c r="F70" s="4" t="s">
        <v>505</v>
      </c>
      <c r="G70" s="4">
        <v>8551016374</v>
      </c>
      <c r="H70" s="4" t="s">
        <v>506</v>
      </c>
      <c r="I70" s="4" t="s">
        <v>548</v>
      </c>
      <c r="J70" s="4" t="str">
        <f t="shared" si="3"/>
        <v>072-671-0903</v>
      </c>
      <c r="K70" s="4" t="s">
        <v>508</v>
      </c>
    </row>
    <row r="71" spans="1:11" ht="15.95" customHeight="1" thickBot="1">
      <c r="A71" s="3" t="s">
        <v>194</v>
      </c>
      <c r="B71" s="6" t="str">
        <f t="shared" si="2"/>
        <v>〇井 〇世</v>
      </c>
      <c r="C71" s="4" t="s">
        <v>549</v>
      </c>
      <c r="D71" s="6" t="str">
        <f t="shared" si="2"/>
        <v>〇井〇翼</v>
      </c>
      <c r="E71" s="5">
        <v>41489</v>
      </c>
      <c r="F71" s="4" t="s">
        <v>505</v>
      </c>
      <c r="G71" s="4">
        <v>8551016382</v>
      </c>
      <c r="H71" s="4" t="s">
        <v>506</v>
      </c>
      <c r="I71" s="4" t="s">
        <v>548</v>
      </c>
      <c r="J71" s="4" t="str">
        <f t="shared" si="3"/>
        <v>072-671-0903</v>
      </c>
      <c r="K71" s="4" t="s">
        <v>508</v>
      </c>
    </row>
    <row r="72" spans="1:11" ht="15.95" customHeight="1" thickBot="1">
      <c r="A72" s="3" t="s">
        <v>475</v>
      </c>
      <c r="B72" s="6" t="str">
        <f t="shared" si="2"/>
        <v>〇本〇恵</v>
      </c>
      <c r="C72" s="4" t="s">
        <v>550</v>
      </c>
      <c r="D72" s="6" t="str">
        <f t="shared" si="2"/>
        <v>〇本〇聖</v>
      </c>
      <c r="E72" s="5">
        <v>42082</v>
      </c>
      <c r="F72" s="4" t="s">
        <v>505</v>
      </c>
      <c r="G72" s="4">
        <v>8551019857</v>
      </c>
      <c r="H72" s="4" t="s">
        <v>538</v>
      </c>
      <c r="I72" s="4"/>
      <c r="J72" s="4" t="str">
        <f t="shared" si="3"/>
        <v/>
      </c>
      <c r="K72" s="4" t="s">
        <v>508</v>
      </c>
    </row>
    <row r="73" spans="1:11" ht="15.95" customHeight="1" thickBot="1">
      <c r="A73" s="3" t="s">
        <v>124</v>
      </c>
      <c r="B73" s="6" t="str">
        <f t="shared" si="2"/>
        <v>〇本 〇太</v>
      </c>
      <c r="C73" s="4" t="s">
        <v>551</v>
      </c>
      <c r="D73" s="6" t="str">
        <f t="shared" si="2"/>
        <v>〇本 〇希</v>
      </c>
      <c r="E73" s="5">
        <v>42206</v>
      </c>
      <c r="F73" s="4" t="s">
        <v>552</v>
      </c>
      <c r="G73" s="4">
        <v>5000032598</v>
      </c>
      <c r="H73" s="4" t="s">
        <v>553</v>
      </c>
      <c r="I73" s="4"/>
      <c r="J73" s="4" t="str">
        <f t="shared" si="3"/>
        <v/>
      </c>
      <c r="K73" s="4" t="s">
        <v>508</v>
      </c>
    </row>
    <row r="74" spans="1:11" ht="15.95" customHeight="1" thickBot="1">
      <c r="A74" s="3" t="s">
        <v>76</v>
      </c>
      <c r="B74" s="6" t="str">
        <f t="shared" si="2"/>
        <v>〇郷 〇佑</v>
      </c>
      <c r="C74" s="4" t="s">
        <v>554</v>
      </c>
      <c r="D74" s="6" t="str">
        <f t="shared" si="2"/>
        <v>〇郷 〇匠</v>
      </c>
      <c r="E74" s="5">
        <v>39946</v>
      </c>
      <c r="F74" s="4" t="s">
        <v>505</v>
      </c>
      <c r="G74" s="4">
        <v>8551024469</v>
      </c>
      <c r="H74" s="4" t="s">
        <v>555</v>
      </c>
      <c r="I74" s="4"/>
      <c r="J74" s="4" t="str">
        <f t="shared" si="3"/>
        <v/>
      </c>
      <c r="K74" s="4" t="s">
        <v>508</v>
      </c>
    </row>
    <row r="75" spans="1:11" ht="15.95" customHeight="1" thickBot="1">
      <c r="A75" s="3" t="s">
        <v>76</v>
      </c>
      <c r="B75" s="6" t="str">
        <f t="shared" si="2"/>
        <v>〇郷 〇佑</v>
      </c>
      <c r="C75" s="4" t="s">
        <v>556</v>
      </c>
      <c r="D75" s="6" t="str">
        <f t="shared" si="2"/>
        <v>〇郷 蔵〇介</v>
      </c>
      <c r="E75" s="5">
        <v>40537</v>
      </c>
      <c r="F75" s="4" t="s">
        <v>505</v>
      </c>
      <c r="G75" s="4">
        <v>8551024451</v>
      </c>
      <c r="H75" s="4" t="s">
        <v>512</v>
      </c>
      <c r="I75" s="4"/>
      <c r="J75" s="4" t="str">
        <f t="shared" si="3"/>
        <v/>
      </c>
      <c r="K75" s="4" t="s">
        <v>508</v>
      </c>
    </row>
    <row r="76" spans="1:11" ht="15.95" customHeight="1" thickBot="1">
      <c r="A76" s="3" t="s">
        <v>81</v>
      </c>
      <c r="B76" s="6" t="str">
        <f t="shared" si="2"/>
        <v>〇尾 〇宏</v>
      </c>
      <c r="C76" s="4" t="s">
        <v>557</v>
      </c>
      <c r="D76" s="6" t="str">
        <f t="shared" si="2"/>
        <v>〇尾 〇斗</v>
      </c>
      <c r="E76" s="5">
        <v>40675</v>
      </c>
      <c r="F76" s="4" t="s">
        <v>505</v>
      </c>
      <c r="G76" s="4">
        <v>8551011664</v>
      </c>
      <c r="H76" s="4" t="s">
        <v>555</v>
      </c>
      <c r="I76" s="4" t="s">
        <v>558</v>
      </c>
      <c r="J76" s="4" t="str">
        <f t="shared" si="3"/>
        <v>002-661-0100</v>
      </c>
      <c r="K76" s="4" t="s">
        <v>508</v>
      </c>
    </row>
    <row r="77" spans="1:11" ht="15.95" customHeight="1" thickBot="1">
      <c r="A77" s="3" t="s">
        <v>319</v>
      </c>
      <c r="B77" s="6" t="str">
        <f t="shared" si="2"/>
        <v>〇井 〇子</v>
      </c>
      <c r="C77" s="4" t="s">
        <v>559</v>
      </c>
      <c r="D77" s="6" t="str">
        <f t="shared" si="2"/>
        <v>〇井 〇弥</v>
      </c>
      <c r="E77" s="5">
        <v>42324</v>
      </c>
      <c r="F77" s="4" t="s">
        <v>505</v>
      </c>
      <c r="G77" s="4">
        <v>8551024022</v>
      </c>
      <c r="H77" s="4" t="s">
        <v>560</v>
      </c>
      <c r="I77" s="4" t="s">
        <v>561</v>
      </c>
      <c r="J77" s="4" t="str">
        <f t="shared" si="3"/>
        <v>072-093-4102</v>
      </c>
      <c r="K77" s="4" t="s">
        <v>508</v>
      </c>
    </row>
    <row r="78" spans="1:11" ht="15.95" customHeight="1" thickBot="1">
      <c r="A78" s="3" t="s">
        <v>379</v>
      </c>
      <c r="B78" s="6" t="str">
        <f t="shared" si="2"/>
        <v>〇岡 紀〇子</v>
      </c>
      <c r="C78" s="4" t="s">
        <v>562</v>
      </c>
      <c r="D78" s="6" t="str">
        <f t="shared" si="2"/>
        <v>〇岡 〇希</v>
      </c>
      <c r="E78" s="5">
        <v>42363</v>
      </c>
      <c r="F78" s="4" t="s">
        <v>505</v>
      </c>
      <c r="G78" s="4">
        <v>8551025151</v>
      </c>
      <c r="H78" s="4" t="s">
        <v>512</v>
      </c>
      <c r="I78" s="4"/>
      <c r="J78" s="4" t="str">
        <f t="shared" si="3"/>
        <v/>
      </c>
      <c r="K78" s="4" t="s">
        <v>508</v>
      </c>
    </row>
    <row r="79" spans="1:11" ht="15.95" customHeight="1" thickBot="1">
      <c r="A79" s="3" t="s">
        <v>86</v>
      </c>
      <c r="B79" s="6" t="str">
        <f t="shared" si="2"/>
        <v>〇田 み〇ほ</v>
      </c>
      <c r="C79" s="4" t="s">
        <v>563</v>
      </c>
      <c r="D79" s="6" t="str">
        <f t="shared" si="2"/>
        <v>〇田 〇希</v>
      </c>
      <c r="E79" s="5">
        <v>41053</v>
      </c>
      <c r="F79" s="4" t="s">
        <v>505</v>
      </c>
      <c r="G79" s="4">
        <v>8551022505</v>
      </c>
      <c r="H79" s="4" t="s">
        <v>555</v>
      </c>
      <c r="I79" s="4"/>
      <c r="J79" s="4" t="str">
        <f t="shared" si="3"/>
        <v/>
      </c>
      <c r="K79" s="4" t="s">
        <v>508</v>
      </c>
    </row>
    <row r="80" spans="1:11" ht="15.95" customHeight="1" thickBot="1">
      <c r="A80" s="3" t="s">
        <v>200</v>
      </c>
      <c r="B80" s="6" t="str">
        <f t="shared" si="2"/>
        <v>〇村 〇代</v>
      </c>
      <c r="C80" s="4" t="s">
        <v>564</v>
      </c>
      <c r="D80" s="6" t="str">
        <f t="shared" si="2"/>
        <v>〇村 〇道</v>
      </c>
      <c r="E80" s="5">
        <v>40470</v>
      </c>
      <c r="F80" s="4" t="s">
        <v>505</v>
      </c>
      <c r="G80" s="4">
        <v>8551056768</v>
      </c>
      <c r="H80" s="4" t="s">
        <v>530</v>
      </c>
      <c r="I80" s="4" t="s">
        <v>565</v>
      </c>
      <c r="J80" s="4" t="str">
        <f t="shared" si="3"/>
        <v>072-674-0306</v>
      </c>
      <c r="K80" s="4" t="s">
        <v>508</v>
      </c>
    </row>
    <row r="81" spans="1:11" ht="15.95" customHeight="1" thickBot="1">
      <c r="A81" s="3" t="s">
        <v>200</v>
      </c>
      <c r="B81" s="6" t="str">
        <f t="shared" si="2"/>
        <v>〇村 〇代</v>
      </c>
      <c r="C81" s="4" t="s">
        <v>566</v>
      </c>
      <c r="D81" s="6" t="str">
        <f t="shared" si="2"/>
        <v>〇村 〇花</v>
      </c>
      <c r="E81" s="5">
        <v>41504</v>
      </c>
      <c r="F81" s="4" t="s">
        <v>505</v>
      </c>
      <c r="G81" s="4">
        <v>8551058061</v>
      </c>
      <c r="H81" s="4" t="s">
        <v>506</v>
      </c>
      <c r="I81" s="4" t="s">
        <v>565</v>
      </c>
      <c r="J81" s="4" t="str">
        <f t="shared" si="3"/>
        <v>072-674-0306</v>
      </c>
      <c r="K81" s="4" t="s">
        <v>508</v>
      </c>
    </row>
    <row r="82" spans="1:11" ht="15.95" customHeight="1" thickBot="1">
      <c r="A82" s="3" t="s">
        <v>204</v>
      </c>
      <c r="B82" s="6" t="str">
        <f t="shared" si="2"/>
        <v>〇本 〇美</v>
      </c>
      <c r="C82" s="4" t="s">
        <v>567</v>
      </c>
      <c r="D82" s="6" t="str">
        <f t="shared" si="2"/>
        <v>〇本 〇佑</v>
      </c>
      <c r="E82" s="5">
        <v>41869</v>
      </c>
      <c r="F82" s="4" t="s">
        <v>505</v>
      </c>
      <c r="G82" s="4">
        <v>8551021952</v>
      </c>
      <c r="H82" s="4" t="s">
        <v>506</v>
      </c>
      <c r="I82" s="4">
        <v>726699797</v>
      </c>
      <c r="J82" s="4" t="str">
        <f t="shared" si="3"/>
        <v>026600707</v>
      </c>
      <c r="K82" s="4" t="s">
        <v>508</v>
      </c>
    </row>
    <row r="83" spans="1:11" ht="15.95" customHeight="1" thickBot="1">
      <c r="A83" s="3" t="s">
        <v>285</v>
      </c>
      <c r="B83" s="6" t="str">
        <f t="shared" si="2"/>
        <v>〇浦 〇美</v>
      </c>
      <c r="C83" s="4" t="s">
        <v>568</v>
      </c>
      <c r="D83" s="6" t="str">
        <f t="shared" si="2"/>
        <v>〇浦 峻〇朗</v>
      </c>
      <c r="E83" s="5">
        <v>41938</v>
      </c>
      <c r="F83" s="4" t="s">
        <v>505</v>
      </c>
      <c r="G83" s="4">
        <v>8551025110</v>
      </c>
      <c r="H83" s="4" t="s">
        <v>530</v>
      </c>
      <c r="I83" s="4"/>
      <c r="J83" s="4" t="str">
        <f t="shared" si="3"/>
        <v/>
      </c>
      <c r="K83" s="4" t="s">
        <v>508</v>
      </c>
    </row>
    <row r="84" spans="1:11" ht="15.95" customHeight="1" thickBot="1">
      <c r="A84" s="3" t="s">
        <v>244</v>
      </c>
      <c r="B84" s="6" t="str">
        <f t="shared" si="2"/>
        <v>〇仲 絵〇子</v>
      </c>
      <c r="C84" s="4" t="s">
        <v>569</v>
      </c>
      <c r="D84" s="6" t="str">
        <f t="shared" si="2"/>
        <v>〇仲 〇大</v>
      </c>
      <c r="E84" s="5">
        <v>42619</v>
      </c>
      <c r="F84" s="4" t="s">
        <v>505</v>
      </c>
      <c r="G84" s="4">
        <v>8551028023</v>
      </c>
      <c r="H84" s="4" t="s">
        <v>570</v>
      </c>
      <c r="I84" s="4"/>
      <c r="J84" s="4" t="str">
        <f t="shared" si="3"/>
        <v/>
      </c>
      <c r="K84" s="4" t="s">
        <v>508</v>
      </c>
    </row>
    <row r="85" spans="1:11" ht="15.95" customHeight="1" thickBot="1">
      <c r="A85" s="3" t="s">
        <v>116</v>
      </c>
      <c r="B85" s="6" t="str">
        <f t="shared" si="2"/>
        <v>〇山 〇美</v>
      </c>
      <c r="C85" s="4" t="s">
        <v>571</v>
      </c>
      <c r="D85" s="6" t="str">
        <f t="shared" si="2"/>
        <v>〇山 〇渡</v>
      </c>
      <c r="E85" s="5">
        <v>42548</v>
      </c>
      <c r="F85" s="4" t="s">
        <v>505</v>
      </c>
      <c r="G85" s="4">
        <v>8551034005</v>
      </c>
      <c r="H85" s="4" t="s">
        <v>514</v>
      </c>
      <c r="I85" s="4" t="s">
        <v>572</v>
      </c>
      <c r="J85" s="4" t="str">
        <f t="shared" si="3"/>
        <v>072-647-5403</v>
      </c>
      <c r="K85" s="4" t="s">
        <v>508</v>
      </c>
    </row>
    <row r="86" spans="1:11" ht="15.95" customHeight="1" thickBot="1">
      <c r="A86" s="3" t="s">
        <v>116</v>
      </c>
      <c r="B86" s="6" t="str">
        <f t="shared" si="2"/>
        <v>〇山 〇美</v>
      </c>
      <c r="C86" s="4" t="s">
        <v>573</v>
      </c>
      <c r="D86" s="6" t="str">
        <f t="shared" si="2"/>
        <v>〇山 〇美</v>
      </c>
      <c r="E86" s="5">
        <v>43168</v>
      </c>
      <c r="F86" s="4" t="s">
        <v>505</v>
      </c>
      <c r="G86" s="4">
        <v>8551034013</v>
      </c>
      <c r="H86" s="4" t="s">
        <v>538</v>
      </c>
      <c r="I86" s="4" t="s">
        <v>572</v>
      </c>
      <c r="J86" s="4" t="str">
        <f t="shared" si="3"/>
        <v>072-647-5403</v>
      </c>
      <c r="K86" s="4" t="s">
        <v>508</v>
      </c>
    </row>
    <row r="87" spans="1:11" ht="15.95" customHeight="1" thickBot="1">
      <c r="A87" s="3" t="s">
        <v>155</v>
      </c>
      <c r="B87" s="6" t="str">
        <f t="shared" si="2"/>
        <v>〇本 〇子</v>
      </c>
      <c r="C87" s="4" t="s">
        <v>574</v>
      </c>
      <c r="D87" s="6" t="str">
        <f t="shared" si="2"/>
        <v>〇本 〇詠</v>
      </c>
      <c r="E87" s="5">
        <v>41141</v>
      </c>
      <c r="F87" s="4" t="s">
        <v>505</v>
      </c>
      <c r="G87" s="4">
        <v>8551017554</v>
      </c>
      <c r="H87" s="4" t="s">
        <v>506</v>
      </c>
      <c r="I87" s="4"/>
      <c r="J87" s="4" t="str">
        <f t="shared" si="3"/>
        <v/>
      </c>
      <c r="K87" s="4" t="s">
        <v>508</v>
      </c>
    </row>
    <row r="88" spans="1:11" ht="15.95" customHeight="1" thickBot="1">
      <c r="A88" s="3" t="s">
        <v>155</v>
      </c>
      <c r="B88" s="6" t="str">
        <f t="shared" si="2"/>
        <v>〇本 〇子</v>
      </c>
      <c r="C88" s="4" t="s">
        <v>575</v>
      </c>
      <c r="D88" s="6" t="str">
        <f t="shared" si="2"/>
        <v>〇本 〇翔</v>
      </c>
      <c r="E88" s="5">
        <v>41837</v>
      </c>
      <c r="F88" s="4" t="s">
        <v>505</v>
      </c>
      <c r="G88" s="4">
        <v>8551028254</v>
      </c>
      <c r="H88" s="4" t="s">
        <v>576</v>
      </c>
      <c r="I88" s="4"/>
      <c r="J88" s="4" t="str">
        <f t="shared" si="3"/>
        <v/>
      </c>
      <c r="K88" s="4" t="s">
        <v>508</v>
      </c>
    </row>
    <row r="89" spans="1:11" ht="15.95" customHeight="1" thickBot="1">
      <c r="A89" s="3" t="s">
        <v>383</v>
      </c>
      <c r="B89" s="6" t="str">
        <f t="shared" si="2"/>
        <v>〇本 ち〇ろ</v>
      </c>
      <c r="C89" s="4" t="s">
        <v>577</v>
      </c>
      <c r="D89" s="6" t="str">
        <f t="shared" si="2"/>
        <v>〇本 〇哉</v>
      </c>
      <c r="E89" s="5">
        <v>40163</v>
      </c>
      <c r="F89" s="4" t="s">
        <v>505</v>
      </c>
      <c r="G89" s="4">
        <v>8551017026</v>
      </c>
      <c r="H89" s="4" t="s">
        <v>512</v>
      </c>
      <c r="I89" s="4"/>
      <c r="J89" s="4" t="str">
        <f t="shared" si="3"/>
        <v/>
      </c>
      <c r="K89" s="4" t="s">
        <v>508</v>
      </c>
    </row>
    <row r="90" spans="1:11" ht="15.95" customHeight="1" thickBot="1">
      <c r="A90" s="3" t="s">
        <v>315</v>
      </c>
      <c r="B90" s="6" t="str">
        <f t="shared" si="2"/>
        <v>〇井 〇江</v>
      </c>
      <c r="C90" s="4" t="s">
        <v>578</v>
      </c>
      <c r="D90" s="6" t="str">
        <f t="shared" si="2"/>
        <v>〇井 〇磨</v>
      </c>
      <c r="E90" s="5">
        <v>41233</v>
      </c>
      <c r="F90" s="4" t="s">
        <v>505</v>
      </c>
      <c r="G90" s="4">
        <v>8551017950</v>
      </c>
      <c r="H90" s="4" t="s">
        <v>510</v>
      </c>
      <c r="I90" s="4"/>
      <c r="J90" s="4" t="str">
        <f t="shared" si="3"/>
        <v/>
      </c>
      <c r="K90" s="4" t="s">
        <v>508</v>
      </c>
    </row>
    <row r="91" spans="1:11" ht="15.95" customHeight="1" thickBot="1">
      <c r="A91" s="3" t="s">
        <v>482</v>
      </c>
      <c r="B91" s="6" t="str">
        <f t="shared" si="2"/>
        <v>〇岡 〇子</v>
      </c>
      <c r="C91" s="4" t="s">
        <v>579</v>
      </c>
      <c r="D91" s="6" t="str">
        <f t="shared" si="2"/>
        <v>〇岡 〇星</v>
      </c>
      <c r="E91" s="5">
        <v>40996</v>
      </c>
      <c r="F91" s="4" t="s">
        <v>505</v>
      </c>
      <c r="G91" s="4">
        <v>8551062360</v>
      </c>
      <c r="H91" s="4" t="s">
        <v>538</v>
      </c>
      <c r="I91" s="4" t="s">
        <v>580</v>
      </c>
      <c r="J91" s="4" t="str">
        <f t="shared" si="3"/>
        <v>080-3801-6905</v>
      </c>
      <c r="K91" s="4" t="s">
        <v>508</v>
      </c>
    </row>
    <row r="92" spans="1:11" ht="15.95" customHeight="1" thickBot="1">
      <c r="A92" s="3" t="s">
        <v>120</v>
      </c>
      <c r="B92" s="6" t="str">
        <f t="shared" si="2"/>
        <v>〇口 〇恵</v>
      </c>
      <c r="C92" s="4" t="s">
        <v>581</v>
      </c>
      <c r="D92" s="6" t="str">
        <f t="shared" si="2"/>
        <v>〇口〇岳</v>
      </c>
      <c r="E92" s="5">
        <v>42178</v>
      </c>
      <c r="F92" s="4" t="s">
        <v>505</v>
      </c>
      <c r="G92" s="4">
        <v>8551052338</v>
      </c>
      <c r="H92" s="4" t="s">
        <v>514</v>
      </c>
      <c r="I92" s="4"/>
      <c r="J92" s="4" t="str">
        <f t="shared" si="3"/>
        <v/>
      </c>
      <c r="K92" s="4" t="s">
        <v>508</v>
      </c>
    </row>
    <row r="93" spans="1:11" ht="15.95" customHeight="1" thickBot="1">
      <c r="A93" s="3" t="s">
        <v>251</v>
      </c>
      <c r="B93" s="6" t="str">
        <f t="shared" si="2"/>
        <v>〇口 〇子</v>
      </c>
      <c r="C93" s="4" t="s">
        <v>582</v>
      </c>
      <c r="D93" s="6" t="str">
        <f t="shared" si="2"/>
        <v>〇口 〇舞</v>
      </c>
      <c r="E93" s="5">
        <v>41575</v>
      </c>
      <c r="F93" s="4" t="s">
        <v>505</v>
      </c>
      <c r="G93" s="4">
        <v>8551069183</v>
      </c>
      <c r="H93" s="4" t="s">
        <v>583</v>
      </c>
      <c r="I93" s="4"/>
      <c r="J93" s="4" t="str">
        <f t="shared" si="3"/>
        <v/>
      </c>
      <c r="K93" s="4" t="s">
        <v>508</v>
      </c>
    </row>
    <row r="94" spans="1:11" ht="15.95" customHeight="1" thickBot="1">
      <c r="A94" s="3" t="s">
        <v>90</v>
      </c>
      <c r="B94" s="6" t="str">
        <f t="shared" si="2"/>
        <v>〇本 木〇子</v>
      </c>
      <c r="C94" s="4" t="s">
        <v>584</v>
      </c>
      <c r="D94" s="6" t="str">
        <f t="shared" si="2"/>
        <v>〇本 〇成</v>
      </c>
      <c r="E94" s="5">
        <v>42137</v>
      </c>
      <c r="F94" s="4" t="s">
        <v>505</v>
      </c>
      <c r="G94" s="4">
        <v>8551024170</v>
      </c>
      <c r="H94" s="4" t="s">
        <v>555</v>
      </c>
      <c r="I94" s="4" t="s">
        <v>585</v>
      </c>
      <c r="J94" s="4" t="str">
        <f t="shared" si="3"/>
        <v>072-690-7209</v>
      </c>
      <c r="K94" s="4" t="s">
        <v>508</v>
      </c>
    </row>
    <row r="95" spans="1:11" ht="15.95" customHeight="1" thickBot="1">
      <c r="A95" s="3" t="s">
        <v>210</v>
      </c>
      <c r="B95" s="6" t="str">
        <f t="shared" si="2"/>
        <v>〇田〇恵</v>
      </c>
      <c r="C95" s="4" t="s">
        <v>586</v>
      </c>
      <c r="D95" s="6" t="str">
        <f t="shared" si="2"/>
        <v>〇田〇航</v>
      </c>
      <c r="E95" s="5">
        <v>42247</v>
      </c>
      <c r="F95" s="4" t="s">
        <v>505</v>
      </c>
      <c r="G95" s="4">
        <v>8551025383</v>
      </c>
      <c r="H95" s="4" t="s">
        <v>506</v>
      </c>
      <c r="I95" s="4" t="s">
        <v>587</v>
      </c>
      <c r="J95" s="4" t="str">
        <f t="shared" si="3"/>
        <v>072-629-1006</v>
      </c>
      <c r="K95" s="4" t="s">
        <v>508</v>
      </c>
    </row>
    <row r="96" spans="1:11" ht="15.95" customHeight="1" thickBot="1">
      <c r="A96" s="3" t="s">
        <v>214</v>
      </c>
      <c r="B96" s="6" t="str">
        <f t="shared" si="2"/>
        <v>〇之内 〇美</v>
      </c>
      <c r="C96" s="4" t="s">
        <v>588</v>
      </c>
      <c r="D96" s="6" t="str">
        <f t="shared" si="2"/>
        <v>〇之内 〇樹</v>
      </c>
      <c r="E96" s="5">
        <v>42231</v>
      </c>
      <c r="F96" s="4" t="s">
        <v>505</v>
      </c>
      <c r="G96" s="4">
        <v>8551061537</v>
      </c>
      <c r="H96" s="4" t="s">
        <v>506</v>
      </c>
      <c r="I96" s="4"/>
      <c r="J96" s="4" t="str">
        <f t="shared" si="3"/>
        <v/>
      </c>
      <c r="K96" s="4" t="s">
        <v>508</v>
      </c>
    </row>
    <row r="97" spans="1:11" ht="15.95" customHeight="1" thickBot="1">
      <c r="A97" s="3" t="s">
        <v>388</v>
      </c>
      <c r="B97" s="6" t="str">
        <f t="shared" si="2"/>
        <v>〇本 〇史</v>
      </c>
      <c r="C97" s="4" t="s">
        <v>589</v>
      </c>
      <c r="D97" s="6" t="str">
        <f t="shared" si="2"/>
        <v>〇本 海〇朗</v>
      </c>
      <c r="E97" s="5">
        <v>42034</v>
      </c>
      <c r="F97" s="4" t="s">
        <v>552</v>
      </c>
      <c r="G97" s="4">
        <v>5000027853</v>
      </c>
      <c r="H97" s="4" t="s">
        <v>512</v>
      </c>
      <c r="I97" s="4"/>
      <c r="J97" s="4" t="str">
        <f t="shared" si="3"/>
        <v/>
      </c>
      <c r="K97" s="4" t="s">
        <v>508</v>
      </c>
    </row>
    <row r="98" spans="1:11" ht="15.95" customHeight="1" thickBot="1">
      <c r="A98" s="3" t="s">
        <v>159</v>
      </c>
      <c r="B98" s="6" t="str">
        <f t="shared" si="2"/>
        <v>〇邉 智〇子</v>
      </c>
      <c r="C98" s="4" t="s">
        <v>590</v>
      </c>
      <c r="D98" s="6" t="str">
        <f t="shared" ref="D98" si="4">SUBSTITUTE(REPLACE(C98, 1, 1, "〇"),RIGHTB(C98,2),"〇")</f>
        <v>〇邉 〇</v>
      </c>
      <c r="E98" s="5">
        <v>41458</v>
      </c>
      <c r="F98" s="4" t="s">
        <v>505</v>
      </c>
      <c r="G98" s="4">
        <v>8551013009</v>
      </c>
      <c r="H98" s="4" t="s">
        <v>576</v>
      </c>
      <c r="I98" s="4" t="s">
        <v>591</v>
      </c>
      <c r="J98" s="4" t="str">
        <f t="shared" si="3"/>
        <v>072-695-0500</v>
      </c>
      <c r="K98" s="4" t="s">
        <v>508</v>
      </c>
    </row>
  </sheetData>
  <sheetProtection algorithmName="SHA-512" hashValue="mgbrqwkzovYdB5zuOvzdBm0opZ84M4xsfGz9U6+zvDOZ6IrcMKBNQEjbKZkaB46QLOJ3y2SQl7asOl8sKqOxzg==" saltValue="iYf1B2Gxl/ujWYQGlEitwQ==" spinCount="100000" sheet="1" objects="1" scenarios="1"/>
  <mergeCells count="9">
    <mergeCell ref="J1:J2"/>
    <mergeCell ref="I1:I2"/>
    <mergeCell ref="B1:B2"/>
    <mergeCell ref="D1:D2"/>
    <mergeCell ref="A1:A2"/>
    <mergeCell ref="C1:C2"/>
    <mergeCell ref="E1:E2"/>
    <mergeCell ref="F1:F2"/>
    <mergeCell ref="H1:H2"/>
  </mergeCells>
  <phoneticPr fontId="4"/>
  <hyperlinks>
    <hyperlink ref="A3" r:id="rId1" display="https://r.kaipoke.biz/kaipokebiz/business/register/user/MEM090307.do?conversationContext=7" xr:uid="{2BD39531-5B8A-4113-B5A9-8F2E507C9955}"/>
    <hyperlink ref="A4" r:id="rId2" display="https://r.kaipoke.biz/kaipokebiz/business/register/user/MEM090307.do?conversationContext=7" xr:uid="{2D9FF76F-AC8F-4E8A-B227-D98BEE35BCD2}"/>
    <hyperlink ref="A5" r:id="rId3" display="https://r.kaipoke.biz/kaipokebiz/business/register/user/MEM090307.do?conversationContext=7" xr:uid="{3BFE89A9-7F7F-48F0-A1A7-FDE5F17CE3E2}"/>
    <hyperlink ref="A6" r:id="rId4" display="https://r.kaipoke.biz/kaipokebiz/business/register/user/MEM090307.do?conversationContext=7" xr:uid="{9956F3BE-51F8-402E-ADD8-2DB8891DC825}"/>
    <hyperlink ref="A7" r:id="rId5" display="https://r.kaipoke.biz/kaipokebiz/business/register/user/MEM090307.do?conversationContext=7" xr:uid="{759EC46B-4CD4-486D-BFDD-5C6B46D5CA36}"/>
    <hyperlink ref="A8" r:id="rId6" display="https://r.kaipoke.biz/kaipokebiz/business/register/user/MEM090307.do?conversationContext=7" xr:uid="{53E25F97-41AC-40DE-AC07-7E3494739104}"/>
    <hyperlink ref="A9" r:id="rId7" display="https://r.kaipoke.biz/kaipokebiz/business/register/user/MEM090307.do?conversationContext=7" xr:uid="{E9F5860B-9789-47DB-9116-F4A1500516B3}"/>
    <hyperlink ref="A10" r:id="rId8" display="https://r.kaipoke.biz/kaipokebiz/business/register/user/MEM090307.do?conversationContext=7" xr:uid="{083BC62A-5AF3-41EA-AEAD-4CDBE8A4BC2A}"/>
    <hyperlink ref="A11" r:id="rId9" display="https://r.kaipoke.biz/kaipokebiz/business/register/user/MEM090307.do?conversationContext=7" xr:uid="{5E61DD98-5AA3-4B1A-9397-E3448663B368}"/>
    <hyperlink ref="A12" r:id="rId10" display="https://r.kaipoke.biz/kaipokebiz/business/register/user/MEM090307.do?conversationContext=7" xr:uid="{3FD0827D-0D21-460F-8A70-40D3B855CF02}"/>
    <hyperlink ref="A13" r:id="rId11" display="https://r.kaipoke.biz/kaipokebiz/business/register/user/MEM090307.do?conversationContext=7" xr:uid="{663F163A-7FE7-4B80-B06B-372FECE53D32}"/>
    <hyperlink ref="A14" r:id="rId12" display="https://r.kaipoke.biz/kaipokebiz/business/register/user/MEM090307.do?conversationContext=7" xr:uid="{54973E98-83C4-4E4E-BAE3-399C128335EA}"/>
    <hyperlink ref="A15" r:id="rId13" display="https://r.kaipoke.biz/kaipokebiz/business/register/user/MEM090307.do?conversationContext=7" xr:uid="{35AAF932-E71A-4E3D-8267-213002E0E949}"/>
    <hyperlink ref="A16" r:id="rId14" display="https://r.kaipoke.biz/kaipokebiz/business/register/user/MEM090307.do?conversationContext=7" xr:uid="{1D05E924-EF68-4BA4-9A2F-354A043A57FE}"/>
    <hyperlink ref="A17" r:id="rId15" display="https://r.kaipoke.biz/kaipokebiz/business/register/user/MEM090307.do?conversationContext=7" xr:uid="{6E30091A-3B66-498C-A1D9-4BB9D6502C4B}"/>
    <hyperlink ref="A18" r:id="rId16" display="https://r.kaipoke.biz/kaipokebiz/business/register/user/MEM090307.do?conversationContext=7" xr:uid="{FB7A7EB7-C7D0-48B9-9B71-C6694CABDA45}"/>
    <hyperlink ref="A19" r:id="rId17" display="https://r.kaipoke.biz/kaipokebiz/business/register/user/MEM090307.do?conversationContext=7" xr:uid="{6B3E95DA-12EB-468F-A146-05F8A7120A14}"/>
    <hyperlink ref="A20" r:id="rId18" display="https://r.kaipoke.biz/kaipokebiz/business/register/user/MEM090307.do?conversationContext=7" xr:uid="{D32CC1E0-4637-4CE9-8D7B-DD0119522AD5}"/>
    <hyperlink ref="A21" r:id="rId19" display="https://r.kaipoke.biz/kaipokebiz/business/register/user/MEM090307.do?conversationContext=7" xr:uid="{81FF969E-BE73-4476-912A-B9D382C1FE72}"/>
    <hyperlink ref="A22" r:id="rId20" display="https://r.kaipoke.biz/kaipokebiz/business/register/user/MEM090307.do?conversationContext=7" xr:uid="{455E4474-8CAF-4AD6-8288-C06E5039C202}"/>
    <hyperlink ref="A23" r:id="rId21" display="https://r.kaipoke.biz/kaipokebiz/business/register/user/MEM090307.do?conversationContext=7" xr:uid="{C6CC056F-AC20-49A6-851E-E393DF803B10}"/>
    <hyperlink ref="A24" r:id="rId22" display="https://r.kaipoke.biz/kaipokebiz/business/register/user/MEM090307.do?conversationContext=7" xr:uid="{2058E2D5-2290-4A20-A207-E194185E390F}"/>
    <hyperlink ref="A25" r:id="rId23" display="https://r.kaipoke.biz/kaipokebiz/business/register/user/MEM090307.do?conversationContext=7" xr:uid="{D3F1A7A2-C7EA-4A5D-B01F-94FC44374C38}"/>
    <hyperlink ref="A26" r:id="rId24" display="https://r.kaipoke.biz/kaipokebiz/business/register/user/MEM090307.do?conversationContext=7" xr:uid="{37EFE41D-498B-444A-8D5F-CD381512077C}"/>
    <hyperlink ref="A27" r:id="rId25" display="https://r.kaipoke.biz/kaipokebiz/business/register/user/MEM090307.do?conversationContext=7" xr:uid="{C4E84DEE-A462-489B-AED8-BBDDED648264}"/>
    <hyperlink ref="A28" r:id="rId26" display="https://r.kaipoke.biz/kaipokebiz/business/register/user/MEM090307.do?conversationContext=7" xr:uid="{4EBA9AD6-1BEB-4700-94F6-112296F21AEE}"/>
    <hyperlink ref="A29" r:id="rId27" display="https://r.kaipoke.biz/kaipokebiz/business/register/user/MEM090307.do?conversationContext=7" xr:uid="{273FB17F-3DAF-4C59-AA46-6CC48A6D91A8}"/>
    <hyperlink ref="A30" r:id="rId28" display="https://r.kaipoke.biz/kaipokebiz/business/register/user/MEM090307.do?conversationContext=7" xr:uid="{921FB55B-D9A2-43EA-9CB0-6FA4412C1CCE}"/>
    <hyperlink ref="A31" r:id="rId29" display="https://r.kaipoke.biz/kaipokebiz/business/register/user/MEM090307.do?conversationContext=7" xr:uid="{0BE5F11F-E477-4320-A354-B04E2B972393}"/>
    <hyperlink ref="A32" r:id="rId30" display="https://r.kaipoke.biz/kaipokebiz/business/register/user/MEM090307.do?conversationContext=7" xr:uid="{CD302957-408C-4EF8-B1C7-6C050D917416}"/>
    <hyperlink ref="A33" r:id="rId31" display="https://r.kaipoke.biz/kaipokebiz/business/register/user/MEM090307.do?conversationContext=7" xr:uid="{EC7E4DF7-5A1C-460C-BD5F-06514B4DDAAE}"/>
    <hyperlink ref="A34" r:id="rId32" display="https://r.kaipoke.biz/kaipokebiz/business/register/user/MEM090307.do?conversationContext=7" xr:uid="{F60D9485-93A8-4503-BAE0-1D8B07C9231E}"/>
    <hyperlink ref="A35" r:id="rId33" display="https://r.kaipoke.biz/kaipokebiz/business/register/user/MEM090307.do?conversationContext=7" xr:uid="{CA777231-3C40-4654-88B2-A15D87819524}"/>
    <hyperlink ref="A36" r:id="rId34" display="https://r.kaipoke.biz/kaipokebiz/business/register/user/MEM090307.do?conversationContext=7" xr:uid="{2793AFA6-D7F6-4295-838F-405AA9F5D3C8}"/>
    <hyperlink ref="A37" r:id="rId35" display="https://r.kaipoke.biz/kaipokebiz/business/register/user/MEM090307.do?conversationContext=7" xr:uid="{7572B7B9-09EC-4988-A737-2863F2047E60}"/>
    <hyperlink ref="A38" r:id="rId36" display="https://r.kaipoke.biz/kaipokebiz/business/register/user/MEM090307.do?conversationContext=7" xr:uid="{C45D5FAC-D133-4069-8165-074CDD0BE61D}"/>
    <hyperlink ref="A39" r:id="rId37" display="https://r.kaipoke.biz/kaipokebiz/business/register/user/MEM090307.do?conversationContext=7" xr:uid="{C77A43C4-2676-4F12-9049-B8039070F8B7}"/>
    <hyperlink ref="A40" r:id="rId38" display="https://r.kaipoke.biz/kaipokebiz/business/register/user/MEM090307.do?conversationContext=7" xr:uid="{3631AD72-162A-4FAA-B804-785514DABCE2}"/>
    <hyperlink ref="A41" r:id="rId39" display="https://r.kaipoke.biz/kaipokebiz/business/register/user/MEM090307.do?conversationContext=7" xr:uid="{A44CEACC-3477-4AFB-BC9C-106B4047DD78}"/>
    <hyperlink ref="A42" r:id="rId40" display="https://r.kaipoke.biz/kaipokebiz/business/register/user/MEM090307.do?conversationContext=7" xr:uid="{FC05663B-A709-4758-8032-F9A8089F9020}"/>
    <hyperlink ref="A43" r:id="rId41" display="https://r.kaipoke.biz/kaipokebiz/business/register/user/MEM090307.do?conversationContext=7" xr:uid="{5522709B-1C80-4DD3-8C9E-279A1DF8255D}"/>
    <hyperlink ref="A44" r:id="rId42" display="https://r.kaipoke.biz/kaipokebiz/business/register/user/MEM090307.do?conversationContext=7" xr:uid="{7B1B661E-293D-4294-9E95-4CCC6A6FC709}"/>
    <hyperlink ref="A45" r:id="rId43" display="https://r.kaipoke.biz/kaipokebiz/business/register/user/MEM090307.do?conversationContext=7" xr:uid="{F598DA5F-9332-4421-9BC7-DE9CF4377DE4}"/>
    <hyperlink ref="A46" r:id="rId44" display="https://r.kaipoke.biz/kaipokebiz/business/register/user/MEM090307.do?conversationContext=7" xr:uid="{011A75EE-EE59-4061-A2C8-397363B6BDB3}"/>
    <hyperlink ref="A47" r:id="rId45" display="https://r.kaipoke.biz/kaipokebiz/business/register/user/MEM090307.do?conversationContext=7" xr:uid="{36FE248B-638F-4D3F-AB55-446C68CE353B}"/>
    <hyperlink ref="A48" r:id="rId46" display="https://r.kaipoke.biz/kaipokebiz/business/register/user/MEM090307.do?conversationContext=7" xr:uid="{C2CF8A73-2632-417A-96F5-AA021EA1967E}"/>
    <hyperlink ref="A49" r:id="rId47" display="https://r.kaipoke.biz/kaipokebiz/business/register/user/MEM090307.do?conversationContext=7" xr:uid="{84DC69B8-8A9E-4939-B366-E3E3B573EDDF}"/>
    <hyperlink ref="A50" r:id="rId48" display="https://r.kaipoke.biz/kaipokebiz/business/register/user/MEM090307.do?conversationContext=7" xr:uid="{B266C779-C6B9-4B85-A17C-A9794371C1CB}"/>
    <hyperlink ref="A51" r:id="rId49" display="https://r.kaipoke.biz/kaipokebiz/business/register/user/MEM090307.do?conversationContext=7" xr:uid="{30B928D4-590A-49E9-9691-2E7D0E14B18B}"/>
    <hyperlink ref="A52" r:id="rId50" display="https://r.kaipoke.biz/kaipokebiz/business/register/user/MEM090307.do?conversationContext=7" xr:uid="{D49A358F-5449-4CA7-992D-2386F0C9F113}"/>
    <hyperlink ref="A53" r:id="rId51" display="https://r.kaipoke.biz/kaipokebiz/business/register/user/MEM090307.do?conversationContext=7" xr:uid="{AF267BF4-ECE9-466E-A2F5-D051AAD93962}"/>
    <hyperlink ref="A54" r:id="rId52" display="https://r.kaipoke.biz/kaipokebiz/business/register/user/MEM090307.do?conversationContext=7" xr:uid="{AA0608E5-A206-4726-BD90-D08A3BF82033}"/>
    <hyperlink ref="A55" r:id="rId53" display="https://r.kaipoke.biz/kaipokebiz/business/register/user/MEM090307.do?conversationContext=7" xr:uid="{452920B5-D625-4442-976D-8FFE0198B3C0}"/>
    <hyperlink ref="A56" r:id="rId54" display="https://r.kaipoke.biz/kaipokebiz/business/register/user/MEM090307.do?conversationContext=7" xr:uid="{064478BF-5C0F-44CE-8CB6-0C7FF61A364E}"/>
    <hyperlink ref="A57" r:id="rId55" display="https://r.kaipoke.biz/kaipokebiz/business/register/user/MEM090307.do?conversationContext=7" xr:uid="{779F3DFB-4F9B-4985-BCC7-0DFE760C2611}"/>
    <hyperlink ref="A58" r:id="rId56" display="https://r.kaipoke.biz/kaipokebiz/business/register/user/MEM090307.do?conversationContext=7" xr:uid="{DA84E24B-4384-4F42-BBEA-4B941C43C188}"/>
    <hyperlink ref="A59" r:id="rId57" display="https://r.kaipoke.biz/kaipokebiz/business/register/user/MEM090307.do?conversationContext=7" xr:uid="{8A252453-F864-4ABE-BD69-60672A7340D1}"/>
    <hyperlink ref="A60" r:id="rId58" display="https://r.kaipoke.biz/kaipokebiz/business/register/user/MEM090307.do?conversationContext=7" xr:uid="{62CE1E9B-E0DE-410A-8D07-0DCD91399DCD}"/>
    <hyperlink ref="A61" r:id="rId59" display="https://r.kaipoke.biz/kaipokebiz/business/register/user/MEM090307.do?conversationContext=7" xr:uid="{D1125991-8E66-44E9-81EC-7842B3A35376}"/>
    <hyperlink ref="A62" r:id="rId60" display="https://r.kaipoke.biz/kaipokebiz/business/register/user/MEM090307.do?conversationContext=7" xr:uid="{BE0D9D66-70F3-4726-AA62-58707C73D1FF}"/>
    <hyperlink ref="A63" r:id="rId61" display="https://r.kaipoke.biz/kaipokebiz/business/register/user/MEM090307.do?conversationContext=7" xr:uid="{7AD29569-DEFA-465A-887E-8BADBDBF297E}"/>
    <hyperlink ref="A64" r:id="rId62" display="https://r.kaipoke.biz/kaipokebiz/business/register/user/MEM090307.do?conversationContext=7" xr:uid="{EC58D8B3-83C3-463A-BB42-48C83E6A4486}"/>
    <hyperlink ref="A65" r:id="rId63" display="https://r.kaipoke.biz/kaipokebiz/business/register/user/MEM090307.do?conversationContext=7" xr:uid="{D02B1F6B-5FB0-443D-A71F-A55DD4F6BCF9}"/>
    <hyperlink ref="A66" r:id="rId64" display="https://r.kaipoke.biz/kaipokebiz/business/register/user/MEM090307.do?conversationContext=7" xr:uid="{65FC302D-D26D-4CE7-AE4A-5B29F290160F}"/>
    <hyperlink ref="A67" r:id="rId65" display="https://r.kaipoke.biz/kaipokebiz/business/register/user/MEM090307.do?conversationContext=7" xr:uid="{2C8502EB-E42D-4A99-AB3F-91F0FD05981B}"/>
    <hyperlink ref="A68" r:id="rId66" display="https://r.kaipoke.biz/kaipokebiz/business/register/user/MEM090307.do?conversationContext=7" xr:uid="{70594901-A916-4531-A6BC-BAD3B493F2E6}"/>
    <hyperlink ref="A69" r:id="rId67" display="https://r.kaipoke.biz/kaipokebiz/business/register/user/MEM090307.do?conversationContext=7" xr:uid="{7A753D3C-0FB7-4DEE-9B46-D25579D0244D}"/>
    <hyperlink ref="A70" r:id="rId68" display="https://r.kaipoke.biz/kaipokebiz/business/register/user/MEM090307.do?conversationContext=7" xr:uid="{3C1D499C-3D37-4CAB-B6EE-687834EEF9ED}"/>
    <hyperlink ref="A71" r:id="rId69" display="https://r.kaipoke.biz/kaipokebiz/business/register/user/MEM090307.do?conversationContext=7" xr:uid="{6FCE39B5-3C6E-4BFD-941A-F5D8A7ABC889}"/>
    <hyperlink ref="A72" r:id="rId70" display="https://r.kaipoke.biz/kaipokebiz/business/register/user/MEM090307.do?conversationContext=7" xr:uid="{88B7F97A-6783-4C08-9712-4F79C5B300D3}"/>
    <hyperlink ref="A73" r:id="rId71" display="https://r.kaipoke.biz/kaipokebiz/business/register/user/MEM090307.do?conversationContext=7" xr:uid="{AFCD5FD3-7EE6-45FA-8C95-1C1EE817275B}"/>
    <hyperlink ref="A74" r:id="rId72" display="https://r.kaipoke.biz/kaipokebiz/business/register/user/MEM090307.do?conversationContext=7" xr:uid="{EDF632C9-FD96-44C2-BA30-8696846F98A9}"/>
    <hyperlink ref="A75" r:id="rId73" display="https://r.kaipoke.biz/kaipokebiz/business/register/user/MEM090307.do?conversationContext=7" xr:uid="{99C6E90B-BD2A-413B-86CE-74261EB72271}"/>
    <hyperlink ref="A76" r:id="rId74" display="https://r.kaipoke.biz/kaipokebiz/business/register/user/MEM090307.do?conversationContext=7" xr:uid="{20C3F8C1-ABCB-40FC-A81A-99E8B043EA61}"/>
    <hyperlink ref="A77" r:id="rId75" display="https://r.kaipoke.biz/kaipokebiz/business/register/user/MEM090307.do?conversationContext=7" xr:uid="{8F15A7A5-3E79-46BF-82CC-ED4676FD5107}"/>
    <hyperlink ref="A78" r:id="rId76" display="https://r.kaipoke.biz/kaipokebiz/business/register/user/MEM090307.do?conversationContext=7" xr:uid="{B56D467B-72A6-48C1-8F6A-3CF6D73AC1F3}"/>
    <hyperlink ref="A79" r:id="rId77" display="https://r.kaipoke.biz/kaipokebiz/business/register/user/MEM090307.do?conversationContext=7" xr:uid="{EC8E92AC-63F9-4BE3-B483-C567DECEEC8C}"/>
    <hyperlink ref="A80" r:id="rId78" display="https://r.kaipoke.biz/kaipokebiz/business/register/user/MEM090307.do?conversationContext=7" xr:uid="{4AA1087B-C47A-4D81-B8B5-A4F60D2EB33D}"/>
    <hyperlink ref="A81" r:id="rId79" display="https://r.kaipoke.biz/kaipokebiz/business/register/user/MEM090307.do?conversationContext=7" xr:uid="{FEAE0A72-6544-4B5F-82F7-7A651B8425BD}"/>
    <hyperlink ref="A82" r:id="rId80" display="https://r.kaipoke.biz/kaipokebiz/business/register/user/MEM090307.do?conversationContext=7" xr:uid="{3F1F540E-8109-4A9A-9DB9-F000D5993FD0}"/>
    <hyperlink ref="A83" r:id="rId81" display="https://r.kaipoke.biz/kaipokebiz/business/register/user/MEM090307.do?conversationContext=7" xr:uid="{C2627660-3E0C-490F-86CD-C9D09EB3B535}"/>
    <hyperlink ref="A84" r:id="rId82" display="https://r.kaipoke.biz/kaipokebiz/business/register/user/MEM090307.do?conversationContext=7" xr:uid="{91FB691E-52B7-4F82-9060-0E758D9C6641}"/>
    <hyperlink ref="A85" r:id="rId83" display="https://r.kaipoke.biz/kaipokebiz/business/register/user/MEM090307.do?conversationContext=7" xr:uid="{36FEFA67-0059-43EA-B483-FBF61A6D5F1A}"/>
    <hyperlink ref="A86" r:id="rId84" display="https://r.kaipoke.biz/kaipokebiz/business/register/user/MEM090307.do?conversationContext=7" xr:uid="{525B58FF-E5E2-442E-BA10-554492B8AD4A}"/>
    <hyperlink ref="A87" r:id="rId85" display="https://r.kaipoke.biz/kaipokebiz/business/register/user/MEM090307.do?conversationContext=7" xr:uid="{8CC20450-E883-4DC3-828D-BB028E668357}"/>
    <hyperlink ref="A88" r:id="rId86" display="https://r.kaipoke.biz/kaipokebiz/business/register/user/MEM090307.do?conversationContext=7" xr:uid="{85B6DA5B-2310-4243-9943-564E6BEDEE2B}"/>
    <hyperlink ref="A89" r:id="rId87" display="https://r.kaipoke.biz/kaipokebiz/business/register/user/MEM090307.do?conversationContext=7" xr:uid="{0B7C078F-5FE2-4B63-85B6-9C52D6898BD9}"/>
    <hyperlink ref="A90" r:id="rId88" display="https://r.kaipoke.biz/kaipokebiz/business/register/user/MEM090307.do?conversationContext=7" xr:uid="{389E03D8-1B40-4949-AB21-13391A6F7993}"/>
    <hyperlink ref="A91" r:id="rId89" display="https://r.kaipoke.biz/kaipokebiz/business/register/user/MEM090307.do?conversationContext=7" xr:uid="{DDE1DEA2-D3BA-40AA-9E46-DA364B38FDB6}"/>
    <hyperlink ref="A92" r:id="rId90" display="https://r.kaipoke.biz/kaipokebiz/business/register/user/MEM090307.do?conversationContext=7" xr:uid="{13CAEFA6-6976-46F6-9C40-E06EC1510D44}"/>
    <hyperlink ref="A93" r:id="rId91" display="https://r.kaipoke.biz/kaipokebiz/business/register/user/MEM090307.do?conversationContext=7" xr:uid="{B5637EAC-48C6-45F2-B6F5-A8AE2BEE14C1}"/>
    <hyperlink ref="A94" r:id="rId92" display="https://r.kaipoke.biz/kaipokebiz/business/register/user/MEM090307.do?conversationContext=7" xr:uid="{A2C2FDEE-8896-459A-B5A8-9DEDA4330A4E}"/>
    <hyperlink ref="A95" r:id="rId93" display="https://r.kaipoke.biz/kaipokebiz/business/register/user/MEM090307.do?conversationContext=7" xr:uid="{BAB559DB-B06C-41FB-BADE-2CFC43972387}"/>
    <hyperlink ref="A96" r:id="rId94" display="https://r.kaipoke.biz/kaipokebiz/business/register/user/MEM090307.do?conversationContext=7" xr:uid="{7C9F5A75-2D7B-4696-8179-347BE0389C4C}"/>
    <hyperlink ref="A97" r:id="rId95" display="https://r.kaipoke.biz/kaipokebiz/business/register/user/MEM090307.do?conversationContext=7" xr:uid="{9AC8EE61-1CA5-45BB-AA2D-CD157D020A7A}"/>
    <hyperlink ref="A98" r:id="rId96" display="https://r.kaipoke.biz/kaipokebiz/business/register/user/MEM090307.do?conversationContext=7" xr:uid="{997706C4-AAF7-4D54-9D25-2C9D6EEF4F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36A0-AA6A-4429-BF5A-3179C1A44294}">
  <dimension ref="A1:BH16"/>
  <sheetViews>
    <sheetView workbookViewId="0"/>
  </sheetViews>
  <sheetFormatPr defaultRowHeight="18.75"/>
  <cols>
    <col min="1" max="1" width="39.75" bestFit="1" customWidth="1"/>
    <col min="3" max="3" width="11.5" hidden="1" customWidth="1"/>
    <col min="4" max="4" width="11.5" customWidth="1"/>
    <col min="5" max="5" width="17.75" hidden="1" customWidth="1"/>
    <col min="6" max="6" width="17.75" customWidth="1"/>
    <col min="7" max="8" width="11" bestFit="1" customWidth="1"/>
    <col min="12" max="12" width="15.25" bestFit="1" customWidth="1"/>
    <col min="13" max="13" width="20.5" bestFit="1" customWidth="1"/>
    <col min="14" max="14" width="13.625" hidden="1" customWidth="1"/>
    <col min="15" max="15" width="13.625" customWidth="1"/>
    <col min="16" max="16" width="17.25" hidden="1" customWidth="1"/>
    <col min="17" max="17" width="17.25" customWidth="1"/>
    <col min="18" max="18" width="28.375" bestFit="1" customWidth="1"/>
    <col min="21" max="21" width="15.125" bestFit="1" customWidth="1"/>
    <col min="22" max="22" width="11" bestFit="1" customWidth="1"/>
    <col min="23" max="24" width="18.125" bestFit="1" customWidth="1"/>
    <col min="25" max="25" width="7.125" bestFit="1" customWidth="1"/>
    <col min="27" max="27" width="7.125" bestFit="1" customWidth="1"/>
    <col min="28" max="30" width="11" bestFit="1" customWidth="1"/>
    <col min="31" max="31" width="5.25" bestFit="1" customWidth="1"/>
    <col min="32" max="32" width="7.125" bestFit="1" customWidth="1"/>
    <col min="33" max="35" width="11" bestFit="1" customWidth="1"/>
    <col min="36" max="36" width="23.5" bestFit="1" customWidth="1"/>
    <col min="37" max="37" width="13" bestFit="1" customWidth="1"/>
    <col min="38" max="38" width="11" bestFit="1" customWidth="1"/>
    <col min="39" max="39" width="15.125" bestFit="1" customWidth="1"/>
    <col min="40" max="40" width="11" bestFit="1" customWidth="1"/>
    <col min="41" max="41" width="17.25" bestFit="1" customWidth="1"/>
    <col min="42" max="42" width="19.25" bestFit="1" customWidth="1"/>
    <col min="43" max="43" width="21.375" bestFit="1" customWidth="1"/>
    <col min="44" max="46" width="30.625" bestFit="1" customWidth="1"/>
    <col min="47" max="47" width="27.625" bestFit="1" customWidth="1"/>
    <col min="48" max="48" width="33.875" bestFit="1" customWidth="1"/>
    <col min="49" max="50" width="33.375" bestFit="1" customWidth="1"/>
    <col min="51" max="51" width="23.5" bestFit="1" customWidth="1"/>
    <col min="52" max="53" width="29.25" bestFit="1" customWidth="1"/>
    <col min="54" max="54" width="31.625" bestFit="1" customWidth="1"/>
    <col min="55" max="55" width="33.75" bestFit="1" customWidth="1"/>
    <col min="56" max="56" width="31.625" bestFit="1" customWidth="1"/>
    <col min="57" max="57" width="23.5" bestFit="1" customWidth="1"/>
    <col min="58" max="58" width="7.125" bestFit="1" customWidth="1"/>
    <col min="59" max="59" width="11" bestFit="1" customWidth="1"/>
    <col min="60" max="60" width="7.125" bestFit="1" customWidth="1"/>
  </cols>
  <sheetData>
    <row r="1" spans="1:60">
      <c r="A1" t="s">
        <v>592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600</v>
      </c>
      <c r="J1" t="s">
        <v>601</v>
      </c>
      <c r="K1" t="s">
        <v>602</v>
      </c>
      <c r="L1" t="s">
        <v>603</v>
      </c>
      <c r="M1" t="s">
        <v>604</v>
      </c>
      <c r="N1" t="s">
        <v>605</v>
      </c>
      <c r="O1" t="s">
        <v>606</v>
      </c>
      <c r="P1" t="s">
        <v>607</v>
      </c>
      <c r="Q1" t="s">
        <v>608</v>
      </c>
      <c r="R1" t="s">
        <v>609</v>
      </c>
      <c r="S1" t="s">
        <v>610</v>
      </c>
      <c r="T1" t="s">
        <v>611</v>
      </c>
      <c r="U1" t="s">
        <v>612</v>
      </c>
      <c r="V1" t="s">
        <v>613</v>
      </c>
      <c r="W1" t="s">
        <v>614</v>
      </c>
      <c r="X1" t="s">
        <v>615</v>
      </c>
      <c r="Y1" t="s">
        <v>616</v>
      </c>
      <c r="Z1" t="s">
        <v>617</v>
      </c>
      <c r="AA1" t="s">
        <v>618</v>
      </c>
      <c r="AB1" t="s">
        <v>619</v>
      </c>
      <c r="AC1" t="s">
        <v>620</v>
      </c>
      <c r="AD1" t="s">
        <v>621</v>
      </c>
      <c r="AE1" t="s">
        <v>622</v>
      </c>
      <c r="AF1" t="s">
        <v>623</v>
      </c>
      <c r="AG1" t="s">
        <v>624</v>
      </c>
      <c r="AH1" t="s">
        <v>625</v>
      </c>
      <c r="AI1" t="s">
        <v>626</v>
      </c>
      <c r="AJ1" t="s">
        <v>627</v>
      </c>
      <c r="AK1" t="s">
        <v>628</v>
      </c>
      <c r="AL1" t="s">
        <v>629</v>
      </c>
      <c r="AM1" t="s">
        <v>630</v>
      </c>
      <c r="AN1" t="s">
        <v>631</v>
      </c>
      <c r="AO1" t="s">
        <v>632</v>
      </c>
      <c r="AP1" t="s">
        <v>633</v>
      </c>
      <c r="AQ1" t="s">
        <v>634</v>
      </c>
      <c r="AR1" t="s">
        <v>635</v>
      </c>
      <c r="AS1" t="s">
        <v>636</v>
      </c>
      <c r="AT1" t="s">
        <v>637</v>
      </c>
      <c r="AU1" t="s">
        <v>638</v>
      </c>
      <c r="AV1" t="s">
        <v>639</v>
      </c>
      <c r="AW1" t="s">
        <v>640</v>
      </c>
      <c r="AX1" t="s">
        <v>641</v>
      </c>
      <c r="AY1" t="s">
        <v>642</v>
      </c>
      <c r="AZ1" t="s">
        <v>643</v>
      </c>
      <c r="BA1" t="s">
        <v>644</v>
      </c>
      <c r="BB1" t="s">
        <v>645</v>
      </c>
      <c r="BC1" t="s">
        <v>646</v>
      </c>
      <c r="BD1" t="s">
        <v>647</v>
      </c>
      <c r="BE1" t="s">
        <v>648</v>
      </c>
      <c r="BF1" t="s">
        <v>649</v>
      </c>
      <c r="BG1" t="s">
        <v>650</v>
      </c>
      <c r="BH1" t="s">
        <v>651</v>
      </c>
    </row>
    <row r="2" spans="1:60">
      <c r="A2" t="s">
        <v>44</v>
      </c>
      <c r="C2" t="s">
        <v>652</v>
      </c>
      <c r="D2" t="str">
        <f>SUBSTITUTE(REPLACE(C2,1,1,"〇"),MID(C2,LEN(C2)-1,1),"〇")</f>
        <v>〇藤 〇美</v>
      </c>
      <c r="E2" t="s">
        <v>653</v>
      </c>
      <c r="F2" t="str">
        <f t="shared" ref="F2:F16" si="0">SUBSTITUTE(REPLACE(E2,1,1,"〇"),MID(E2,LEN(E2)-1,1),"〇")</f>
        <v>〇トウ ヒ〇ミ</v>
      </c>
      <c r="O2" t="str">
        <f>IF(N2&lt;&gt;"",SUBSTITUTE(REPLACE(N2,1,1,"0"),MID(N2,LEN(N2)-1,1),"0"),"")</f>
        <v/>
      </c>
      <c r="Q2" t="str">
        <f>IF(P2&lt;&gt;"",SUBSTITUTE(REPLACE(P2,1,1,"0"),MID(P2,LEN(P2)-1,1),"0"),"")</f>
        <v/>
      </c>
      <c r="S2" t="s">
        <v>654</v>
      </c>
      <c r="T2" t="s">
        <v>655</v>
      </c>
    </row>
    <row r="3" spans="1:60">
      <c r="A3" t="s">
        <v>44</v>
      </c>
      <c r="C3" t="s">
        <v>656</v>
      </c>
      <c r="D3" t="str">
        <f t="shared" ref="D3:D16" si="1">SUBSTITUTE(REPLACE(C3,1,1,"〇"),MID(C3,LEN(C3)-1,1),"〇")</f>
        <v>〇木 亜〇美</v>
      </c>
      <c r="E3" t="s">
        <v>657</v>
      </c>
      <c r="F3" t="str">
        <f t="shared" si="0"/>
        <v>〇カギ ア〇ミ</v>
      </c>
      <c r="H3" s="7">
        <v>45565</v>
      </c>
      <c r="O3" t="str">
        <f t="shared" ref="O3:O16" si="2">IF(N3&lt;&gt;"",SUBSTITUTE(REPLACE(N3,1,1,"0"),MID(N3,LEN(N3)-1,1),"0"),"")</f>
        <v/>
      </c>
      <c r="Q3" t="str">
        <f t="shared" ref="Q3:Q16" si="3">IF(P3&lt;&gt;"",SUBSTITUTE(REPLACE(P3,1,1,"0"),MID(P3,LEN(P3)-1,1),"0"),"")</f>
        <v/>
      </c>
      <c r="S3" t="s">
        <v>654</v>
      </c>
      <c r="T3" t="s">
        <v>658</v>
      </c>
    </row>
    <row r="4" spans="1:60">
      <c r="A4" t="s">
        <v>44</v>
      </c>
      <c r="C4" t="s">
        <v>388</v>
      </c>
      <c r="D4" t="str">
        <f t="shared" si="1"/>
        <v>〇本 〇史</v>
      </c>
      <c r="E4" t="s">
        <v>389</v>
      </c>
      <c r="F4" t="str">
        <f t="shared" si="0"/>
        <v>〇キモト ヒ〇シ</v>
      </c>
      <c r="O4" t="str">
        <f t="shared" si="2"/>
        <v/>
      </c>
      <c r="Q4" t="str">
        <f t="shared" si="3"/>
        <v/>
      </c>
      <c r="S4" t="s">
        <v>654</v>
      </c>
      <c r="T4" t="s">
        <v>655</v>
      </c>
    </row>
    <row r="5" spans="1:60">
      <c r="A5" t="s">
        <v>44</v>
      </c>
      <c r="C5" t="s">
        <v>659</v>
      </c>
      <c r="D5" t="str">
        <f t="shared" si="1"/>
        <v>〇田 ま〇み</v>
      </c>
      <c r="E5" t="s">
        <v>660</v>
      </c>
      <c r="F5" t="str">
        <f t="shared" si="0"/>
        <v>〇キタ マ〇ミ</v>
      </c>
      <c r="H5" s="7">
        <v>45553</v>
      </c>
      <c r="O5" t="str">
        <f t="shared" si="2"/>
        <v/>
      </c>
      <c r="Q5" t="str">
        <f t="shared" si="3"/>
        <v/>
      </c>
      <c r="S5" t="s">
        <v>654</v>
      </c>
      <c r="T5" t="s">
        <v>658</v>
      </c>
    </row>
    <row r="6" spans="1:60">
      <c r="A6" t="s">
        <v>44</v>
      </c>
      <c r="C6" t="s">
        <v>661</v>
      </c>
      <c r="D6" t="str">
        <f t="shared" si="1"/>
        <v>〇内 〇弘</v>
      </c>
      <c r="E6" t="s">
        <v>662</v>
      </c>
      <c r="F6" t="str">
        <f t="shared" si="0"/>
        <v>〇リウチ チ〇ロ</v>
      </c>
      <c r="H6" s="7">
        <v>45747</v>
      </c>
      <c r="O6" t="str">
        <f t="shared" si="2"/>
        <v/>
      </c>
      <c r="Q6" t="str">
        <f t="shared" si="3"/>
        <v/>
      </c>
      <c r="S6" t="s">
        <v>654</v>
      </c>
      <c r="T6" t="s">
        <v>658</v>
      </c>
    </row>
    <row r="7" spans="1:60">
      <c r="A7" t="s">
        <v>44</v>
      </c>
      <c r="C7" t="s">
        <v>663</v>
      </c>
      <c r="D7" t="str">
        <f t="shared" si="1"/>
        <v>〇神 〇哉</v>
      </c>
      <c r="E7" t="s">
        <v>664</v>
      </c>
      <c r="F7" t="str">
        <f t="shared" si="0"/>
        <v>〇カミ ト〇ヤ</v>
      </c>
      <c r="O7" t="str">
        <f t="shared" si="2"/>
        <v/>
      </c>
      <c r="Q7" t="str">
        <f t="shared" si="3"/>
        <v/>
      </c>
      <c r="S7" t="s">
        <v>654</v>
      </c>
      <c r="T7" t="s">
        <v>655</v>
      </c>
    </row>
    <row r="8" spans="1:60">
      <c r="A8" t="s">
        <v>44</v>
      </c>
      <c r="C8" t="s">
        <v>665</v>
      </c>
      <c r="D8" t="str">
        <f t="shared" si="1"/>
        <v>〇辻 〇二</v>
      </c>
      <c r="E8" t="s">
        <v>666</v>
      </c>
      <c r="F8" t="str">
        <f t="shared" si="0"/>
        <v>〇カツジ コ〇ジ</v>
      </c>
      <c r="O8" t="str">
        <f t="shared" si="2"/>
        <v/>
      </c>
      <c r="Q8" t="str">
        <f t="shared" si="3"/>
        <v/>
      </c>
      <c r="S8" t="s">
        <v>667</v>
      </c>
      <c r="T8" t="s">
        <v>655</v>
      </c>
      <c r="BG8" t="s">
        <v>668</v>
      </c>
    </row>
    <row r="9" spans="1:60">
      <c r="A9" t="s">
        <v>44</v>
      </c>
      <c r="C9" t="s">
        <v>669</v>
      </c>
      <c r="D9" t="str">
        <f t="shared" si="1"/>
        <v>〇藤〇匠</v>
      </c>
      <c r="E9" t="s">
        <v>670</v>
      </c>
      <c r="F9" t="str">
        <f t="shared" si="0"/>
        <v>〇トウ タ〇ミ</v>
      </c>
      <c r="H9" s="7">
        <v>45716</v>
      </c>
      <c r="O9" t="str">
        <f t="shared" si="2"/>
        <v/>
      </c>
      <c r="Q9" t="str">
        <f t="shared" si="3"/>
        <v/>
      </c>
      <c r="S9" t="s">
        <v>667</v>
      </c>
      <c r="T9" t="s">
        <v>658</v>
      </c>
    </row>
    <row r="10" spans="1:60">
      <c r="A10" t="s">
        <v>44</v>
      </c>
      <c r="C10" t="s">
        <v>671</v>
      </c>
      <c r="D10" t="str">
        <f t="shared" si="1"/>
        <v>〇垣 〇和</v>
      </c>
      <c r="E10" t="s">
        <v>672</v>
      </c>
      <c r="F10" t="str">
        <f t="shared" si="0"/>
        <v>〇ナガキ トシ〇ズ</v>
      </c>
      <c r="O10" t="str">
        <f t="shared" si="2"/>
        <v/>
      </c>
      <c r="Q10" t="str">
        <f t="shared" si="3"/>
        <v/>
      </c>
      <c r="S10" t="s">
        <v>667</v>
      </c>
      <c r="T10" t="s">
        <v>655</v>
      </c>
      <c r="BG10" t="s">
        <v>668</v>
      </c>
    </row>
    <row r="11" spans="1:60">
      <c r="A11" t="s">
        <v>44</v>
      </c>
      <c r="C11" t="s">
        <v>673</v>
      </c>
      <c r="D11" t="str">
        <f t="shared" si="1"/>
        <v>〇能 美〇子</v>
      </c>
      <c r="E11" t="s">
        <v>674</v>
      </c>
      <c r="F11" t="str">
        <f t="shared" si="0"/>
        <v>〇ノウ ミ〇コ</v>
      </c>
      <c r="O11" t="str">
        <f t="shared" si="2"/>
        <v/>
      </c>
      <c r="Q11" t="str">
        <f t="shared" si="3"/>
        <v/>
      </c>
      <c r="S11" t="s">
        <v>667</v>
      </c>
      <c r="T11" t="s">
        <v>655</v>
      </c>
      <c r="AC11" t="s">
        <v>668</v>
      </c>
    </row>
    <row r="12" spans="1:60">
      <c r="A12" t="s">
        <v>44</v>
      </c>
      <c r="C12" t="s">
        <v>675</v>
      </c>
      <c r="D12" t="str">
        <f t="shared" si="1"/>
        <v>〇内 〇明</v>
      </c>
      <c r="E12" t="s">
        <v>676</v>
      </c>
      <c r="F12" t="str">
        <f t="shared" si="0"/>
        <v>〇ケウチ マサ〇キ</v>
      </c>
      <c r="H12" s="7">
        <v>45747</v>
      </c>
      <c r="I12">
        <v>5731184</v>
      </c>
      <c r="O12" t="str">
        <f t="shared" si="2"/>
        <v/>
      </c>
      <c r="P12">
        <v>8031324065</v>
      </c>
      <c r="Q12" t="str">
        <f t="shared" si="3"/>
        <v>0031324005</v>
      </c>
      <c r="S12" t="s">
        <v>654</v>
      </c>
      <c r="T12" t="s">
        <v>658</v>
      </c>
      <c r="AW12" s="7">
        <v>42710</v>
      </c>
      <c r="AY12" s="7">
        <v>42710</v>
      </c>
      <c r="AZ12" s="7">
        <v>42710</v>
      </c>
      <c r="BA12" s="7">
        <v>42710</v>
      </c>
      <c r="BC12" s="7">
        <v>42710</v>
      </c>
      <c r="BG12" t="s">
        <v>668</v>
      </c>
    </row>
    <row r="13" spans="1:60">
      <c r="A13" t="s">
        <v>44</v>
      </c>
      <c r="C13" t="s">
        <v>677</v>
      </c>
      <c r="D13" t="str">
        <f t="shared" si="1"/>
        <v>〇家 〇子</v>
      </c>
      <c r="E13" t="s">
        <v>678</v>
      </c>
      <c r="F13" t="str">
        <f t="shared" si="0"/>
        <v>〇イケ ユ〇コ</v>
      </c>
      <c r="G13" s="7">
        <v>45485</v>
      </c>
      <c r="N13" t="s">
        <v>679</v>
      </c>
      <c r="O13" t="str">
        <f t="shared" si="2"/>
        <v>072-637-3001</v>
      </c>
      <c r="P13" t="s">
        <v>680</v>
      </c>
      <c r="Q13" t="str">
        <f t="shared" si="3"/>
        <v>070-0591-1000</v>
      </c>
      <c r="S13" t="s">
        <v>667</v>
      </c>
      <c r="T13" t="s">
        <v>655</v>
      </c>
    </row>
    <row r="14" spans="1:60">
      <c r="A14" t="s">
        <v>44</v>
      </c>
      <c r="C14" t="s">
        <v>681</v>
      </c>
      <c r="D14" t="str">
        <f t="shared" si="1"/>
        <v>〇尾 〇美</v>
      </c>
      <c r="E14" t="s">
        <v>682</v>
      </c>
      <c r="F14" t="str">
        <f t="shared" si="0"/>
        <v>〇シオ 〇ミ</v>
      </c>
      <c r="O14" t="str">
        <f t="shared" si="2"/>
        <v/>
      </c>
      <c r="Q14" t="str">
        <f t="shared" si="3"/>
        <v/>
      </c>
      <c r="S14" t="s">
        <v>654</v>
      </c>
      <c r="T14" t="s">
        <v>655</v>
      </c>
      <c r="BG14" t="s">
        <v>668</v>
      </c>
    </row>
    <row r="15" spans="1:60">
      <c r="A15" t="s">
        <v>44</v>
      </c>
      <c r="C15" t="s">
        <v>683</v>
      </c>
      <c r="D15" t="str">
        <f t="shared" si="1"/>
        <v>〇川 〇也</v>
      </c>
      <c r="E15" t="s">
        <v>684</v>
      </c>
      <c r="F15" t="str">
        <f t="shared" si="0"/>
        <v>〇ガシカワ ナ〇ヤ</v>
      </c>
      <c r="O15" t="str">
        <f t="shared" si="2"/>
        <v/>
      </c>
      <c r="Q15" t="str">
        <f t="shared" si="3"/>
        <v/>
      </c>
      <c r="S15" t="s">
        <v>654</v>
      </c>
      <c r="T15" t="s">
        <v>655</v>
      </c>
    </row>
    <row r="16" spans="1:60">
      <c r="A16" t="s">
        <v>44</v>
      </c>
      <c r="C16" t="s">
        <v>685</v>
      </c>
      <c r="D16" t="str">
        <f t="shared" si="1"/>
        <v>〇谷 〇春</v>
      </c>
      <c r="E16" t="s">
        <v>686</v>
      </c>
      <c r="F16" t="str">
        <f t="shared" si="0"/>
        <v>〇ンタニ ミ〇ル</v>
      </c>
      <c r="H16" s="7">
        <v>45747</v>
      </c>
      <c r="O16" t="str">
        <f t="shared" si="2"/>
        <v/>
      </c>
      <c r="Q16" t="str">
        <f t="shared" si="3"/>
        <v/>
      </c>
      <c r="S16" t="s">
        <v>667</v>
      </c>
      <c r="T16" t="s">
        <v>658</v>
      </c>
    </row>
  </sheetData>
  <sheetProtection algorithmName="SHA-512" hashValue="Sf4hRJCo8kv5VccTTBj3faam0L2MjGjkUUjlwWzETtEFOxp+BNPoUDiTyo1QbBY+UxPImpn2STTBbQ6ykVKJHA==" saltValue="DmpYGfnf8vb9U+wLpJxmeA==" spinCount="100000" sheet="1" objects="1" scenarios="1"/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A551-FE6E-4297-B645-A309724C9FFB}">
  <dimension ref="A1:AI114"/>
  <sheetViews>
    <sheetView topLeftCell="B1" workbookViewId="0">
      <selection activeCell="B1" sqref="B1"/>
    </sheetView>
  </sheetViews>
  <sheetFormatPr defaultRowHeight="18.75"/>
  <cols>
    <col min="1" max="1" width="11.5" hidden="1" customWidth="1"/>
    <col min="2" max="2" width="11.5" customWidth="1"/>
    <col min="3" max="3" width="17.75" hidden="1" customWidth="1"/>
    <col min="4" max="4" width="17.75" customWidth="1"/>
    <col min="5" max="5" width="15.125" bestFit="1" customWidth="1"/>
    <col min="6" max="6" width="5.25" bestFit="1" customWidth="1"/>
    <col min="10" max="10" width="49.375" hidden="1" customWidth="1"/>
    <col min="11" max="11" width="17.25" bestFit="1" customWidth="1"/>
    <col min="12" max="12" width="42.125" hidden="1" customWidth="1"/>
    <col min="13" max="13" width="15.125" bestFit="1" customWidth="1"/>
    <col min="14" max="14" width="15.125" hidden="1" customWidth="1"/>
    <col min="15" max="15" width="15.125" customWidth="1"/>
    <col min="16" max="16" width="19.25" hidden="1" customWidth="1"/>
    <col min="17" max="17" width="19.25" customWidth="1"/>
    <col min="18" max="18" width="14.875" bestFit="1" customWidth="1"/>
    <col min="19" max="20" width="11" bestFit="1" customWidth="1"/>
    <col min="21" max="21" width="5.25" bestFit="1" customWidth="1"/>
    <col min="22" max="25" width="15.125" bestFit="1" customWidth="1"/>
    <col min="26" max="26" width="13" bestFit="1" customWidth="1"/>
    <col min="27" max="27" width="15.125" bestFit="1" customWidth="1"/>
    <col min="33" max="33" width="15.125" bestFit="1" customWidth="1"/>
    <col min="34" max="34" width="11" bestFit="1" customWidth="1"/>
    <col min="35" max="35" width="5.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687</v>
      </c>
      <c r="F1" t="s">
        <v>688</v>
      </c>
      <c r="G1" t="s">
        <v>600</v>
      </c>
      <c r="H1" t="s">
        <v>601</v>
      </c>
      <c r="I1" t="s">
        <v>602</v>
      </c>
      <c r="J1" t="s">
        <v>603</v>
      </c>
      <c r="K1" t="s">
        <v>689</v>
      </c>
      <c r="L1" t="s">
        <v>604</v>
      </c>
      <c r="M1" t="s">
        <v>690</v>
      </c>
      <c r="N1" t="s">
        <v>691</v>
      </c>
      <c r="O1" t="s">
        <v>692</v>
      </c>
      <c r="P1" t="s">
        <v>693</v>
      </c>
      <c r="Q1" t="s">
        <v>694</v>
      </c>
      <c r="R1" t="s">
        <v>695</v>
      </c>
      <c r="S1" t="s">
        <v>696</v>
      </c>
      <c r="T1" t="s">
        <v>697</v>
      </c>
      <c r="U1" t="s">
        <v>698</v>
      </c>
      <c r="V1" t="s">
        <v>699</v>
      </c>
      <c r="W1" t="s">
        <v>700</v>
      </c>
      <c r="X1" t="s">
        <v>701</v>
      </c>
      <c r="Y1" t="s">
        <v>702</v>
      </c>
      <c r="Z1" t="s">
        <v>703</v>
      </c>
      <c r="AA1" t="s">
        <v>704</v>
      </c>
      <c r="AB1" t="s">
        <v>705</v>
      </c>
      <c r="AC1" t="s">
        <v>706</v>
      </c>
      <c r="AD1" t="s">
        <v>707</v>
      </c>
      <c r="AE1" t="s">
        <v>708</v>
      </c>
      <c r="AF1" t="s">
        <v>709</v>
      </c>
      <c r="AG1" t="s">
        <v>710</v>
      </c>
      <c r="AH1" t="s">
        <v>711</v>
      </c>
      <c r="AI1" t="s">
        <v>712</v>
      </c>
    </row>
    <row r="2" spans="1:35">
      <c r="A2" t="s">
        <v>167</v>
      </c>
      <c r="B2" t="str">
        <f t="shared" ref="B2:B65" si="0">SUBSTITUTE(REPLACE(A2,1,1,"〇"),MID(A2,LEN(A2)-1,1),"〇")</f>
        <v>〇山 〇子</v>
      </c>
      <c r="C2" t="s">
        <v>168</v>
      </c>
      <c r="D2" t="str">
        <f t="shared" ref="D2:D65" si="1">SUBSTITUTE(REPLACE(C2,1,1,"〇"),MID(C2,LEN(C2)-1,1),"〇")</f>
        <v>〇キヤマ フ〇コ</v>
      </c>
      <c r="E2" s="7">
        <v>27990</v>
      </c>
      <c r="F2" t="s">
        <v>98</v>
      </c>
      <c r="G2">
        <v>5690084</v>
      </c>
      <c r="H2" t="s">
        <v>713</v>
      </c>
      <c r="I2" t="s">
        <v>38</v>
      </c>
      <c r="J2" t="s">
        <v>714</v>
      </c>
      <c r="K2" t="str">
        <f>LEFT(SUBSTITUTE(REPLACE(J2,1,1,"〇"),MID(J2,3,1),"〇"),4)</f>
        <v>〇良〇町</v>
      </c>
      <c r="L2" t="s">
        <v>715</v>
      </c>
      <c r="M2" t="str">
        <f>IF(L2&lt;&gt;"",LEFT(SUBSTITUTE(REPLACE(L2,1,1,"〇"),MID(L2,3,1),"〇"),4),"")</f>
        <v>〇ラ〇高</v>
      </c>
      <c r="O2" t="str">
        <f t="shared" ref="O2:O7" si="2">IF(N2&lt;&gt;"",SUBSTITUTE(REPLACE(N2,3,1,"0"),MID(N2,LEN(N2)-1,1),"0"),"")</f>
        <v/>
      </c>
      <c r="P2" t="s">
        <v>716</v>
      </c>
      <c r="Q2" t="str">
        <f>IF(P2&lt;&gt;"",SUBSTITUTE(REPLACE(P2,2,1,"4"),MID(P2,LEN(P2)-1,1),"0"),"")</f>
        <v>040-4134-8804</v>
      </c>
      <c r="R2" t="s">
        <v>717</v>
      </c>
      <c r="S2" t="s">
        <v>718</v>
      </c>
      <c r="AE2" t="s">
        <v>719</v>
      </c>
      <c r="AH2" t="s">
        <v>508</v>
      </c>
    </row>
    <row r="3" spans="1:35">
      <c r="A3" t="s">
        <v>429</v>
      </c>
      <c r="B3" t="str">
        <f t="shared" si="0"/>
        <v>〇井 〇貴</v>
      </c>
      <c r="C3" t="s">
        <v>430</v>
      </c>
      <c r="D3" t="str">
        <f t="shared" si="1"/>
        <v>〇サイ 〇キ</v>
      </c>
      <c r="E3" s="7">
        <v>27912</v>
      </c>
      <c r="F3" t="s">
        <v>98</v>
      </c>
      <c r="G3">
        <v>5690826</v>
      </c>
      <c r="H3" t="s">
        <v>713</v>
      </c>
      <c r="I3" t="s">
        <v>38</v>
      </c>
      <c r="J3" t="s">
        <v>720</v>
      </c>
      <c r="K3" t="str">
        <f t="shared" ref="K3:K66" si="3">LEFT(SUBSTITUTE(REPLACE(J3,1,1,"〇"),MID(J3,3,1),"〇"),4)</f>
        <v>〇町〇丁</v>
      </c>
      <c r="L3" t="s">
        <v>721</v>
      </c>
      <c r="M3" t="str">
        <f t="shared" ref="M3:M66" si="4">IF(L3&lt;&gt;"",LEFT(SUBSTITUTE(REPLACE(L3,1,1,"〇"),MID(L3,3,1),"〇"),4),"")</f>
        <v>〇ャ〇レ</v>
      </c>
      <c r="O3" t="str">
        <f t="shared" si="2"/>
        <v/>
      </c>
      <c r="P3" t="s">
        <v>722</v>
      </c>
      <c r="Q3" t="str">
        <f t="shared" ref="Q3:Q66" si="5">IF(P3&lt;&gt;"",SUBSTITUTE(REPLACE(P3,2,1,"4"),MID(P3,LEN(P3)-1,1),"0"),"")</f>
        <v>040-2433-8303</v>
      </c>
      <c r="R3" t="s">
        <v>723</v>
      </c>
      <c r="S3" t="s">
        <v>718</v>
      </c>
      <c r="AE3" t="s">
        <v>719</v>
      </c>
      <c r="AH3" t="s">
        <v>508</v>
      </c>
    </row>
    <row r="4" spans="1:35">
      <c r="A4" t="s">
        <v>172</v>
      </c>
      <c r="B4" t="str">
        <f t="shared" si="0"/>
        <v>〇田〇薫</v>
      </c>
      <c r="C4" t="s">
        <v>173</v>
      </c>
      <c r="D4" t="str">
        <f t="shared" si="1"/>
        <v>〇ツタ カ〇ル</v>
      </c>
      <c r="E4" s="7">
        <v>31486</v>
      </c>
      <c r="F4" t="s">
        <v>98</v>
      </c>
      <c r="G4">
        <v>5690056</v>
      </c>
      <c r="H4" t="s">
        <v>713</v>
      </c>
      <c r="I4" t="s">
        <v>38</v>
      </c>
      <c r="J4" t="s">
        <v>724</v>
      </c>
      <c r="K4" t="str">
        <f t="shared" si="3"/>
        <v>〇南〇3</v>
      </c>
      <c r="M4" t="str">
        <f t="shared" si="4"/>
        <v/>
      </c>
      <c r="O4" t="str">
        <f t="shared" si="2"/>
        <v/>
      </c>
      <c r="P4" t="s">
        <v>725</v>
      </c>
      <c r="Q4" t="str">
        <f t="shared" si="5"/>
        <v>040-4440-8004</v>
      </c>
      <c r="R4" t="s">
        <v>723</v>
      </c>
      <c r="S4" t="s">
        <v>718</v>
      </c>
      <c r="AE4" t="s">
        <v>719</v>
      </c>
      <c r="AH4" t="s">
        <v>508</v>
      </c>
    </row>
    <row r="5" spans="1:35">
      <c r="A5" t="s">
        <v>223</v>
      </c>
      <c r="B5" t="str">
        <f t="shared" si="0"/>
        <v>〇野 千〇子</v>
      </c>
      <c r="C5" t="s">
        <v>224</v>
      </c>
      <c r="D5" t="str">
        <f t="shared" si="1"/>
        <v>〇マノ チ〇コ</v>
      </c>
      <c r="E5" s="7">
        <v>30680</v>
      </c>
      <c r="F5" t="s">
        <v>98</v>
      </c>
      <c r="G5">
        <v>5690082</v>
      </c>
      <c r="H5" t="s">
        <v>713</v>
      </c>
      <c r="I5" t="s">
        <v>38</v>
      </c>
      <c r="J5" t="s">
        <v>726</v>
      </c>
      <c r="K5" t="str">
        <f t="shared" si="3"/>
        <v>〇野〇５</v>
      </c>
      <c r="M5" t="str">
        <f t="shared" si="4"/>
        <v/>
      </c>
      <c r="O5" t="str">
        <f t="shared" si="2"/>
        <v/>
      </c>
      <c r="P5" t="s">
        <v>727</v>
      </c>
      <c r="Q5" t="str">
        <f t="shared" si="5"/>
        <v>040-5311-5008</v>
      </c>
      <c r="R5" t="s">
        <v>717</v>
      </c>
      <c r="S5" t="s">
        <v>718</v>
      </c>
      <c r="AE5" t="s">
        <v>719</v>
      </c>
      <c r="AH5" t="s">
        <v>508</v>
      </c>
    </row>
    <row r="6" spans="1:35">
      <c r="A6" t="s">
        <v>176</v>
      </c>
      <c r="B6" t="str">
        <f t="shared" si="0"/>
        <v>〇野 〇絵</v>
      </c>
      <c r="C6" t="s">
        <v>177</v>
      </c>
      <c r="D6" t="str">
        <f t="shared" si="1"/>
        <v>〇ミノ イ〇エ</v>
      </c>
      <c r="E6" s="7">
        <v>28924</v>
      </c>
      <c r="F6" t="s">
        <v>98</v>
      </c>
      <c r="G6">
        <v>5690823</v>
      </c>
      <c r="H6" t="s">
        <v>713</v>
      </c>
      <c r="I6" t="s">
        <v>38</v>
      </c>
      <c r="J6" t="s">
        <v>728</v>
      </c>
      <c r="K6" t="str">
        <f t="shared" si="3"/>
        <v>〇生〇２</v>
      </c>
      <c r="M6" t="str">
        <f t="shared" si="4"/>
        <v/>
      </c>
      <c r="O6" t="str">
        <f t="shared" si="2"/>
        <v/>
      </c>
      <c r="P6" t="s">
        <v>729</v>
      </c>
      <c r="Q6" t="str">
        <f t="shared" si="5"/>
        <v>040-0773-0300</v>
      </c>
      <c r="R6" t="s">
        <v>717</v>
      </c>
      <c r="S6" t="s">
        <v>718</v>
      </c>
      <c r="AE6" t="s">
        <v>719</v>
      </c>
      <c r="AH6" t="s">
        <v>508</v>
      </c>
    </row>
    <row r="7" spans="1:35">
      <c r="A7" t="s">
        <v>180</v>
      </c>
      <c r="B7" t="str">
        <f t="shared" si="0"/>
        <v>〇里 〇子</v>
      </c>
      <c r="C7" t="s">
        <v>181</v>
      </c>
      <c r="D7" t="str">
        <f t="shared" si="1"/>
        <v>〇エサト ナ〇コ</v>
      </c>
      <c r="E7" s="7">
        <v>27272</v>
      </c>
      <c r="F7" t="s">
        <v>98</v>
      </c>
      <c r="G7">
        <v>5690095</v>
      </c>
      <c r="H7" t="s">
        <v>713</v>
      </c>
      <c r="I7" t="s">
        <v>38</v>
      </c>
      <c r="J7" t="s">
        <v>730</v>
      </c>
      <c r="K7" t="str">
        <f t="shared" si="3"/>
        <v>〇丁〇町</v>
      </c>
      <c r="M7" t="str">
        <f t="shared" si="4"/>
        <v/>
      </c>
      <c r="O7" t="str">
        <f t="shared" si="2"/>
        <v/>
      </c>
      <c r="P7" t="s">
        <v>731</v>
      </c>
      <c r="Q7" t="str">
        <f t="shared" si="5"/>
        <v>040-1761-0300</v>
      </c>
      <c r="R7" t="s">
        <v>717</v>
      </c>
      <c r="S7" t="s">
        <v>718</v>
      </c>
      <c r="AE7" t="s">
        <v>719</v>
      </c>
      <c r="AH7" t="s">
        <v>508</v>
      </c>
    </row>
    <row r="8" spans="1:35">
      <c r="A8" t="s">
        <v>323</v>
      </c>
      <c r="B8" t="str">
        <f t="shared" si="0"/>
        <v>〇原 由〇子</v>
      </c>
      <c r="C8" t="s">
        <v>324</v>
      </c>
      <c r="D8" t="str">
        <f t="shared" si="1"/>
        <v>〇シハラ ユ〇コ</v>
      </c>
      <c r="E8" s="7">
        <v>31891</v>
      </c>
      <c r="F8" t="s">
        <v>98</v>
      </c>
      <c r="G8">
        <v>5690043</v>
      </c>
      <c r="H8" t="s">
        <v>713</v>
      </c>
      <c r="I8" t="s">
        <v>38</v>
      </c>
      <c r="J8" t="s">
        <v>732</v>
      </c>
      <c r="K8" t="str">
        <f t="shared" si="3"/>
        <v>〇の〇町</v>
      </c>
      <c r="M8" t="str">
        <f t="shared" si="4"/>
        <v/>
      </c>
      <c r="N8" t="s">
        <v>733</v>
      </c>
      <c r="O8" t="str">
        <f>IF(N8&lt;&gt;"",SUBSTITUTE(REPLACE(N8,3,1,"0"),MID(N8,LEN(N8)-1,1),"0"),"")</f>
        <v>090-5061-8100</v>
      </c>
      <c r="Q8" t="str">
        <f t="shared" si="5"/>
        <v/>
      </c>
      <c r="R8" t="s">
        <v>717</v>
      </c>
      <c r="S8" t="s">
        <v>718</v>
      </c>
      <c r="AE8" t="s">
        <v>719</v>
      </c>
      <c r="AH8" t="s">
        <v>508</v>
      </c>
    </row>
    <row r="9" spans="1:35">
      <c r="A9" t="s">
        <v>293</v>
      </c>
      <c r="B9" t="str">
        <f t="shared" si="0"/>
        <v>〇藤 麻〇子</v>
      </c>
      <c r="C9" t="s">
        <v>294</v>
      </c>
      <c r="D9" t="str">
        <f t="shared" si="1"/>
        <v>〇トウ マ〇コ</v>
      </c>
      <c r="E9" s="7">
        <v>26799</v>
      </c>
      <c r="F9" t="s">
        <v>98</v>
      </c>
      <c r="G9">
        <v>5690811</v>
      </c>
      <c r="H9" t="s">
        <v>713</v>
      </c>
      <c r="I9" t="s">
        <v>38</v>
      </c>
      <c r="J9" t="s">
        <v>734</v>
      </c>
      <c r="K9" t="str">
        <f t="shared" si="3"/>
        <v>〇五〇住</v>
      </c>
      <c r="M9" t="str">
        <f t="shared" si="4"/>
        <v/>
      </c>
      <c r="O9" t="str">
        <f t="shared" ref="O9:O72" si="6">IF(N9&lt;&gt;"",SUBSTITUTE(REPLACE(N9,3,1,"0"),MID(N9,LEN(N9)-1,1),"0"),"")</f>
        <v/>
      </c>
      <c r="P9" t="s">
        <v>735</v>
      </c>
      <c r="Q9" t="str">
        <f t="shared" si="5"/>
        <v>040-3055-1508</v>
      </c>
      <c r="R9" t="s">
        <v>717</v>
      </c>
      <c r="S9" t="s">
        <v>718</v>
      </c>
      <c r="AE9" t="s">
        <v>719</v>
      </c>
      <c r="AH9" t="s">
        <v>508</v>
      </c>
    </row>
    <row r="10" spans="1:35">
      <c r="A10" t="s">
        <v>327</v>
      </c>
      <c r="B10" t="str">
        <f t="shared" si="0"/>
        <v>〇藤 〇菜</v>
      </c>
      <c r="C10" t="s">
        <v>328</v>
      </c>
      <c r="D10" t="str">
        <f t="shared" si="1"/>
        <v>〇トウ 〇ナ</v>
      </c>
      <c r="E10" s="7">
        <v>30909</v>
      </c>
      <c r="F10" t="s">
        <v>98</v>
      </c>
      <c r="G10">
        <v>5690013</v>
      </c>
      <c r="H10" t="s">
        <v>713</v>
      </c>
      <c r="I10" t="s">
        <v>38</v>
      </c>
      <c r="J10" t="s">
        <v>736</v>
      </c>
      <c r="K10" t="str">
        <f t="shared" si="3"/>
        <v>〇田〇丁</v>
      </c>
      <c r="M10" t="str">
        <f t="shared" si="4"/>
        <v/>
      </c>
      <c r="O10" t="str">
        <f t="shared" si="6"/>
        <v/>
      </c>
      <c r="P10" t="s">
        <v>737</v>
      </c>
      <c r="Q10" t="str">
        <f t="shared" si="5"/>
        <v>040-1423-6708</v>
      </c>
      <c r="R10" t="s">
        <v>717</v>
      </c>
      <c r="S10" t="s">
        <v>718</v>
      </c>
      <c r="AE10" t="s">
        <v>719</v>
      </c>
      <c r="AH10" t="s">
        <v>508</v>
      </c>
    </row>
    <row r="11" spans="1:35">
      <c r="A11" t="s">
        <v>130</v>
      </c>
      <c r="B11" t="str">
        <f t="shared" si="0"/>
        <v>〇上 〇巳</v>
      </c>
      <c r="C11" t="s">
        <v>131</v>
      </c>
      <c r="D11" t="str">
        <f t="shared" si="1"/>
        <v>〇ノウエ タ〇ミ</v>
      </c>
      <c r="E11" s="7">
        <v>34459</v>
      </c>
      <c r="F11" t="s">
        <v>41</v>
      </c>
      <c r="G11">
        <v>5690822</v>
      </c>
      <c r="H11" t="s">
        <v>713</v>
      </c>
      <c r="I11" t="s">
        <v>38</v>
      </c>
      <c r="J11" t="s">
        <v>738</v>
      </c>
      <c r="K11" t="str">
        <f t="shared" si="3"/>
        <v>〇之〇町</v>
      </c>
      <c r="M11" t="str">
        <f t="shared" si="4"/>
        <v/>
      </c>
      <c r="O11" t="str">
        <f t="shared" si="6"/>
        <v/>
      </c>
      <c r="P11" t="s">
        <v>739</v>
      </c>
      <c r="Q11" t="str">
        <f t="shared" si="5"/>
        <v>040-3030-2101</v>
      </c>
      <c r="R11" t="s">
        <v>717</v>
      </c>
      <c r="S11" t="s">
        <v>718</v>
      </c>
      <c r="AE11" t="s">
        <v>719</v>
      </c>
      <c r="AH11" t="s">
        <v>508</v>
      </c>
    </row>
    <row r="12" spans="1:35">
      <c r="A12" t="s">
        <v>331</v>
      </c>
      <c r="B12" t="str">
        <f t="shared" si="0"/>
        <v>〇西 〇佳</v>
      </c>
      <c r="C12" t="s">
        <v>332</v>
      </c>
      <c r="D12" t="str">
        <f t="shared" si="1"/>
        <v>〇マニシ 〇カ</v>
      </c>
      <c r="E12" s="7">
        <v>29958</v>
      </c>
      <c r="F12" t="s">
        <v>98</v>
      </c>
      <c r="G12">
        <v>5690821</v>
      </c>
      <c r="H12" t="s">
        <v>713</v>
      </c>
      <c r="I12" t="s">
        <v>38</v>
      </c>
      <c r="J12" t="s">
        <v>740</v>
      </c>
      <c r="K12" t="str">
        <f t="shared" si="3"/>
        <v>〇之〇北</v>
      </c>
      <c r="M12" t="str">
        <f t="shared" si="4"/>
        <v/>
      </c>
      <c r="O12" t="str">
        <f t="shared" si="6"/>
        <v/>
      </c>
      <c r="P12" t="s">
        <v>741</v>
      </c>
      <c r="Q12" t="str">
        <f t="shared" si="5"/>
        <v>040-8940-8301</v>
      </c>
      <c r="R12" t="s">
        <v>717</v>
      </c>
      <c r="S12" t="s">
        <v>718</v>
      </c>
      <c r="AE12" t="s">
        <v>719</v>
      </c>
      <c r="AH12" t="s">
        <v>508</v>
      </c>
    </row>
    <row r="13" spans="1:35">
      <c r="A13" t="s">
        <v>335</v>
      </c>
      <c r="B13" t="str">
        <f t="shared" si="0"/>
        <v>〇浦 〇美</v>
      </c>
      <c r="C13" t="s">
        <v>336</v>
      </c>
      <c r="D13" t="str">
        <f t="shared" si="1"/>
        <v>〇エウラ ト〇ミ</v>
      </c>
      <c r="E13" s="7">
        <v>31539</v>
      </c>
      <c r="F13" t="s">
        <v>98</v>
      </c>
      <c r="G13">
        <v>5690053</v>
      </c>
      <c r="H13" t="s">
        <v>713</v>
      </c>
      <c r="I13" t="s">
        <v>38</v>
      </c>
      <c r="J13" t="s">
        <v>742</v>
      </c>
      <c r="K13" t="str">
        <f t="shared" si="3"/>
        <v>〇日〇１</v>
      </c>
      <c r="M13" t="str">
        <f t="shared" si="4"/>
        <v/>
      </c>
      <c r="N13" t="s">
        <v>743</v>
      </c>
      <c r="O13" t="str">
        <f t="shared" si="6"/>
        <v>070-8335-5108</v>
      </c>
      <c r="Q13" t="str">
        <f t="shared" si="5"/>
        <v/>
      </c>
      <c r="R13" t="s">
        <v>723</v>
      </c>
      <c r="S13" t="s">
        <v>718</v>
      </c>
      <c r="AE13" t="s">
        <v>719</v>
      </c>
      <c r="AH13" t="s">
        <v>508</v>
      </c>
    </row>
    <row r="14" spans="1:35">
      <c r="A14" t="s">
        <v>340</v>
      </c>
      <c r="B14" t="str">
        <f t="shared" si="0"/>
        <v>〇藤 〇香</v>
      </c>
      <c r="C14" t="s">
        <v>341</v>
      </c>
      <c r="D14" t="str">
        <f t="shared" si="1"/>
        <v>〇ンドウ 〇カ</v>
      </c>
      <c r="E14" s="7">
        <v>30620</v>
      </c>
      <c r="F14" t="s">
        <v>98</v>
      </c>
      <c r="G14">
        <v>5690065</v>
      </c>
      <c r="H14" t="s">
        <v>713</v>
      </c>
      <c r="I14" t="s">
        <v>38</v>
      </c>
      <c r="J14" t="s">
        <v>744</v>
      </c>
      <c r="K14" t="str">
        <f t="shared" si="3"/>
        <v>〇西〇4</v>
      </c>
      <c r="M14" t="str">
        <f t="shared" si="4"/>
        <v/>
      </c>
      <c r="O14" t="str">
        <f t="shared" si="6"/>
        <v/>
      </c>
      <c r="Q14" t="str">
        <f t="shared" si="5"/>
        <v/>
      </c>
      <c r="R14" t="s">
        <v>717</v>
      </c>
      <c r="S14" t="s">
        <v>718</v>
      </c>
      <c r="AE14" t="s">
        <v>719</v>
      </c>
      <c r="AH14" t="s">
        <v>508</v>
      </c>
    </row>
    <row r="15" spans="1:35">
      <c r="A15" t="s">
        <v>227</v>
      </c>
      <c r="B15" t="str">
        <f t="shared" si="0"/>
        <v>〇井 貴〇枝</v>
      </c>
      <c r="C15" t="s">
        <v>228</v>
      </c>
      <c r="D15" t="str">
        <f t="shared" si="1"/>
        <v>〇オイ キ〇エ</v>
      </c>
      <c r="E15" s="7">
        <v>26680</v>
      </c>
      <c r="F15" t="s">
        <v>98</v>
      </c>
      <c r="G15">
        <v>5690046</v>
      </c>
      <c r="H15" t="s">
        <v>713</v>
      </c>
      <c r="I15" t="s">
        <v>38</v>
      </c>
      <c r="J15" t="s">
        <v>745</v>
      </c>
      <c r="K15" t="str">
        <f t="shared" si="3"/>
        <v>〇町〇0</v>
      </c>
      <c r="M15" t="str">
        <f t="shared" si="4"/>
        <v/>
      </c>
      <c r="N15" t="s">
        <v>746</v>
      </c>
      <c r="O15" t="str">
        <f t="shared" si="6"/>
        <v>070-628-6006</v>
      </c>
      <c r="P15" t="s">
        <v>747</v>
      </c>
      <c r="Q15" t="str">
        <f t="shared" si="5"/>
        <v>040-8503-8603</v>
      </c>
      <c r="R15" t="s">
        <v>717</v>
      </c>
      <c r="S15" t="s">
        <v>718</v>
      </c>
      <c r="AE15" t="s">
        <v>719</v>
      </c>
      <c r="AH15" t="s">
        <v>508</v>
      </c>
    </row>
    <row r="16" spans="1:35">
      <c r="A16" t="s">
        <v>134</v>
      </c>
      <c r="B16" t="str">
        <f t="shared" si="0"/>
        <v>〇内 〇香</v>
      </c>
      <c r="C16" t="s">
        <v>135</v>
      </c>
      <c r="D16" t="str">
        <f t="shared" si="1"/>
        <v>〇オウチ 〇カ</v>
      </c>
      <c r="E16" s="7">
        <v>26897</v>
      </c>
      <c r="F16" t="s">
        <v>98</v>
      </c>
      <c r="G16">
        <v>5691144</v>
      </c>
      <c r="H16" t="s">
        <v>713</v>
      </c>
      <c r="I16" t="s">
        <v>38</v>
      </c>
      <c r="J16" t="s">
        <v>748</v>
      </c>
      <c r="K16" t="str">
        <f t="shared" si="3"/>
        <v>〇畑〇１</v>
      </c>
      <c r="L16" t="s">
        <v>749</v>
      </c>
      <c r="M16" t="str">
        <f t="shared" si="4"/>
        <v>〇ー〇ス</v>
      </c>
      <c r="N16" t="s">
        <v>750</v>
      </c>
      <c r="O16" t="str">
        <f t="shared" si="6"/>
        <v>070-690-9001</v>
      </c>
      <c r="P16" t="s">
        <v>751</v>
      </c>
      <c r="Q16" t="str">
        <f t="shared" si="5"/>
        <v>040-3536-4003</v>
      </c>
      <c r="R16" t="s">
        <v>717</v>
      </c>
      <c r="S16" t="s">
        <v>718</v>
      </c>
      <c r="AE16" t="s">
        <v>719</v>
      </c>
      <c r="AH16" t="s">
        <v>508</v>
      </c>
    </row>
    <row r="17" spans="1:34">
      <c r="A17" t="s">
        <v>94</v>
      </c>
      <c r="B17" t="str">
        <f t="shared" si="0"/>
        <v>〇矢 〇美</v>
      </c>
      <c r="C17" t="s">
        <v>95</v>
      </c>
      <c r="D17" t="str">
        <f t="shared" si="1"/>
        <v>〇オヤ ヒ〇ミ</v>
      </c>
      <c r="E17" s="7">
        <v>28523</v>
      </c>
      <c r="F17" t="s">
        <v>98</v>
      </c>
      <c r="G17">
        <v>5690061</v>
      </c>
      <c r="H17" t="s">
        <v>713</v>
      </c>
      <c r="I17" t="s">
        <v>38</v>
      </c>
      <c r="J17" t="s">
        <v>752</v>
      </c>
      <c r="K17" t="str">
        <f t="shared" si="3"/>
        <v>〇西〇6</v>
      </c>
      <c r="M17" t="str">
        <f t="shared" si="4"/>
        <v/>
      </c>
      <c r="O17" t="str">
        <f t="shared" si="6"/>
        <v/>
      </c>
      <c r="P17" t="s">
        <v>753</v>
      </c>
      <c r="Q17" t="str">
        <f t="shared" si="5"/>
        <v>040-4291-0808</v>
      </c>
      <c r="R17" t="s">
        <v>717</v>
      </c>
      <c r="S17" t="s">
        <v>718</v>
      </c>
      <c r="AE17" t="s">
        <v>719</v>
      </c>
      <c r="AH17" t="s">
        <v>508</v>
      </c>
    </row>
    <row r="18" spans="1:34">
      <c r="A18" t="s">
        <v>259</v>
      </c>
      <c r="B18" t="str">
        <f t="shared" si="0"/>
        <v>〇笠原 〇美</v>
      </c>
      <c r="C18" t="s">
        <v>260</v>
      </c>
      <c r="D18" t="str">
        <f t="shared" si="1"/>
        <v>〇ガサハラ ム〇ミ</v>
      </c>
      <c r="E18" s="7">
        <v>28422</v>
      </c>
      <c r="F18" t="s">
        <v>98</v>
      </c>
      <c r="G18">
        <v>5690081</v>
      </c>
      <c r="H18" t="s">
        <v>713</v>
      </c>
      <c r="I18" t="s">
        <v>38</v>
      </c>
      <c r="J18" t="s">
        <v>754</v>
      </c>
      <c r="K18" t="str">
        <f t="shared" si="3"/>
        <v>〇野〇9</v>
      </c>
      <c r="M18" t="str">
        <f t="shared" si="4"/>
        <v/>
      </c>
      <c r="O18" t="str">
        <f t="shared" si="6"/>
        <v/>
      </c>
      <c r="P18" t="s">
        <v>755</v>
      </c>
      <c r="Q18" t="str">
        <f t="shared" si="5"/>
        <v>040-8451-0100</v>
      </c>
      <c r="R18" t="s">
        <v>717</v>
      </c>
      <c r="S18" t="s">
        <v>718</v>
      </c>
      <c r="AE18" t="s">
        <v>719</v>
      </c>
      <c r="AH18" t="s">
        <v>508</v>
      </c>
    </row>
    <row r="19" spans="1:34">
      <c r="A19" t="s">
        <v>138</v>
      </c>
      <c r="B19" t="str">
        <f t="shared" si="0"/>
        <v>〇田 亜〇沙</v>
      </c>
      <c r="C19" t="s">
        <v>139</v>
      </c>
      <c r="D19" t="str">
        <f t="shared" si="1"/>
        <v>〇キタ ア〇サ</v>
      </c>
      <c r="E19" s="7">
        <v>28998</v>
      </c>
      <c r="F19" t="s">
        <v>98</v>
      </c>
      <c r="G19">
        <v>5690062</v>
      </c>
      <c r="H19" t="s">
        <v>713</v>
      </c>
      <c r="I19" t="s">
        <v>38</v>
      </c>
      <c r="J19" t="s">
        <v>756</v>
      </c>
      <c r="K19" t="str">
        <f t="shared" si="3"/>
        <v>〇田〇町</v>
      </c>
      <c r="M19" t="str">
        <f t="shared" si="4"/>
        <v/>
      </c>
      <c r="N19" t="s">
        <v>757</v>
      </c>
      <c r="O19" t="str">
        <f t="shared" si="6"/>
        <v>070-628-1400</v>
      </c>
      <c r="P19" t="s">
        <v>758</v>
      </c>
      <c r="Q19" t="str">
        <f t="shared" si="5"/>
        <v>000-7997-0900</v>
      </c>
      <c r="R19" t="s">
        <v>717</v>
      </c>
      <c r="S19" t="s">
        <v>718</v>
      </c>
      <c r="AE19" t="s">
        <v>719</v>
      </c>
      <c r="AH19" t="s">
        <v>508</v>
      </c>
    </row>
    <row r="20" spans="1:34">
      <c r="A20" t="s">
        <v>463</v>
      </c>
      <c r="B20" t="str">
        <f t="shared" si="0"/>
        <v>〇崎 〇史</v>
      </c>
      <c r="C20" t="s">
        <v>464</v>
      </c>
      <c r="D20" t="str">
        <f t="shared" si="1"/>
        <v>〇ザキ タ〇シ</v>
      </c>
      <c r="E20" s="7">
        <v>29962</v>
      </c>
      <c r="F20" t="s">
        <v>41</v>
      </c>
      <c r="G20">
        <v>5690078</v>
      </c>
      <c r="H20" t="s">
        <v>713</v>
      </c>
      <c r="I20" t="s">
        <v>38</v>
      </c>
      <c r="J20" t="s">
        <v>759</v>
      </c>
      <c r="K20" t="str">
        <f t="shared" si="3"/>
        <v>〇手〇3</v>
      </c>
      <c r="M20" t="str">
        <f t="shared" si="4"/>
        <v/>
      </c>
      <c r="O20" t="str">
        <f t="shared" si="6"/>
        <v/>
      </c>
      <c r="P20" t="s">
        <v>760</v>
      </c>
      <c r="Q20" t="str">
        <f t="shared" si="5"/>
        <v>040-1383-2408</v>
      </c>
      <c r="R20" t="s">
        <v>717</v>
      </c>
      <c r="S20" t="s">
        <v>718</v>
      </c>
      <c r="AE20" t="s">
        <v>719</v>
      </c>
      <c r="AH20" t="s">
        <v>508</v>
      </c>
    </row>
    <row r="21" spans="1:34">
      <c r="A21" t="s">
        <v>761</v>
      </c>
      <c r="B21" t="str">
        <f t="shared" si="0"/>
        <v>〇野 〇子</v>
      </c>
      <c r="C21" t="s">
        <v>762</v>
      </c>
      <c r="D21" t="str">
        <f t="shared" si="1"/>
        <v>〇ノ ア〇コ</v>
      </c>
      <c r="E21" s="7">
        <v>29232</v>
      </c>
      <c r="F21" t="s">
        <v>98</v>
      </c>
      <c r="G21">
        <v>5690056</v>
      </c>
      <c r="H21" t="s">
        <v>713</v>
      </c>
      <c r="I21" t="s">
        <v>38</v>
      </c>
      <c r="J21" t="s">
        <v>763</v>
      </c>
      <c r="K21" t="str">
        <f t="shared" si="3"/>
        <v>〇南〇4</v>
      </c>
      <c r="M21" t="str">
        <f t="shared" si="4"/>
        <v/>
      </c>
      <c r="N21" t="s">
        <v>764</v>
      </c>
      <c r="O21" t="str">
        <f t="shared" si="6"/>
        <v>070-609-0500</v>
      </c>
      <c r="P21" t="s">
        <v>765</v>
      </c>
      <c r="Q21" t="str">
        <f t="shared" si="5"/>
        <v>040-8209-8002</v>
      </c>
      <c r="R21" t="s">
        <v>723</v>
      </c>
      <c r="S21" t="s">
        <v>718</v>
      </c>
      <c r="AE21" t="s">
        <v>719</v>
      </c>
      <c r="AH21" t="s">
        <v>766</v>
      </c>
    </row>
    <row r="22" spans="1:34">
      <c r="A22" t="s">
        <v>263</v>
      </c>
      <c r="B22" t="str">
        <f t="shared" si="0"/>
        <v>〇見渕 〇乃</v>
      </c>
      <c r="C22" t="s">
        <v>264</v>
      </c>
      <c r="D22" t="str">
        <f t="shared" si="1"/>
        <v>〇ミブチ イ〇ノ</v>
      </c>
      <c r="E22" s="7">
        <v>28266</v>
      </c>
      <c r="F22" t="s">
        <v>98</v>
      </c>
      <c r="G22">
        <v>5690056</v>
      </c>
      <c r="H22" t="s">
        <v>713</v>
      </c>
      <c r="I22" t="s">
        <v>38</v>
      </c>
      <c r="J22" t="s">
        <v>767</v>
      </c>
      <c r="K22" t="str">
        <f t="shared" si="3"/>
        <v>〇南〇3</v>
      </c>
      <c r="M22" t="str">
        <f t="shared" si="4"/>
        <v/>
      </c>
      <c r="O22" t="str">
        <f t="shared" si="6"/>
        <v/>
      </c>
      <c r="P22">
        <v>8024650600</v>
      </c>
      <c r="Q22" t="str">
        <f t="shared" si="5"/>
        <v>8424650600</v>
      </c>
      <c r="R22" t="s">
        <v>717</v>
      </c>
      <c r="S22" t="s">
        <v>718</v>
      </c>
      <c r="AE22" t="s">
        <v>719</v>
      </c>
      <c r="AH22" t="s">
        <v>508</v>
      </c>
    </row>
    <row r="23" spans="1:34">
      <c r="A23" t="s">
        <v>344</v>
      </c>
      <c r="B23" t="str">
        <f t="shared" si="0"/>
        <v>〇斐 〇理</v>
      </c>
      <c r="C23" t="s">
        <v>345</v>
      </c>
      <c r="D23" t="str">
        <f t="shared" si="1"/>
        <v>〇イ 〇リ</v>
      </c>
      <c r="E23" s="7">
        <v>30942</v>
      </c>
      <c r="F23" t="s">
        <v>98</v>
      </c>
      <c r="G23">
        <v>5690811</v>
      </c>
      <c r="H23" t="s">
        <v>713</v>
      </c>
      <c r="I23" t="s">
        <v>38</v>
      </c>
      <c r="J23" t="s">
        <v>768</v>
      </c>
      <c r="K23" t="str">
        <f t="shared" si="3"/>
        <v>〇五〇住</v>
      </c>
      <c r="M23" t="str">
        <f t="shared" si="4"/>
        <v/>
      </c>
      <c r="O23" t="str">
        <f t="shared" si="6"/>
        <v/>
      </c>
      <c r="P23" t="s">
        <v>769</v>
      </c>
      <c r="Q23" t="str">
        <f t="shared" si="5"/>
        <v>040-3100-0207</v>
      </c>
      <c r="R23" t="s">
        <v>717</v>
      </c>
      <c r="S23" t="s">
        <v>718</v>
      </c>
      <c r="AE23" t="s">
        <v>719</v>
      </c>
      <c r="AH23" t="s">
        <v>508</v>
      </c>
    </row>
    <row r="24" spans="1:34">
      <c r="A24" t="s">
        <v>344</v>
      </c>
      <c r="B24" t="str">
        <f t="shared" si="0"/>
        <v>〇斐 〇理</v>
      </c>
      <c r="C24" t="s">
        <v>345</v>
      </c>
      <c r="D24" t="str">
        <f t="shared" si="1"/>
        <v>〇イ 〇リ</v>
      </c>
      <c r="E24" s="7">
        <v>30942</v>
      </c>
      <c r="F24" t="s">
        <v>98</v>
      </c>
      <c r="G24">
        <v>5690811</v>
      </c>
      <c r="H24" t="s">
        <v>713</v>
      </c>
      <c r="I24" t="s">
        <v>38</v>
      </c>
      <c r="J24" t="s">
        <v>768</v>
      </c>
      <c r="K24" t="str">
        <f t="shared" si="3"/>
        <v>〇五〇住</v>
      </c>
      <c r="M24" t="str">
        <f t="shared" si="4"/>
        <v/>
      </c>
      <c r="N24">
        <v>8031055257</v>
      </c>
      <c r="O24" t="str">
        <f t="shared" si="6"/>
        <v>8001000207</v>
      </c>
      <c r="Q24" t="str">
        <f t="shared" si="5"/>
        <v/>
      </c>
      <c r="R24" t="s">
        <v>717</v>
      </c>
      <c r="S24" t="s">
        <v>718</v>
      </c>
      <c r="AE24" t="s">
        <v>719</v>
      </c>
      <c r="AH24" t="s">
        <v>508</v>
      </c>
    </row>
    <row r="25" spans="1:34">
      <c r="A25" t="s">
        <v>344</v>
      </c>
      <c r="B25" t="str">
        <f t="shared" si="0"/>
        <v>〇斐 〇理</v>
      </c>
      <c r="C25" t="s">
        <v>345</v>
      </c>
      <c r="D25" t="str">
        <f t="shared" si="1"/>
        <v>〇イ 〇リ</v>
      </c>
      <c r="E25" s="7">
        <v>30942</v>
      </c>
      <c r="F25" t="s">
        <v>98</v>
      </c>
      <c r="G25">
        <v>5690811</v>
      </c>
      <c r="H25" t="s">
        <v>713</v>
      </c>
      <c r="J25" t="s">
        <v>768</v>
      </c>
      <c r="K25" t="str">
        <f t="shared" si="3"/>
        <v>〇五〇住</v>
      </c>
      <c r="M25" t="str">
        <f t="shared" si="4"/>
        <v/>
      </c>
      <c r="N25">
        <v>8031055257</v>
      </c>
      <c r="O25" t="str">
        <f t="shared" si="6"/>
        <v>8001000207</v>
      </c>
      <c r="Q25" t="str">
        <f t="shared" si="5"/>
        <v/>
      </c>
      <c r="R25" t="s">
        <v>717</v>
      </c>
      <c r="S25" t="s">
        <v>718</v>
      </c>
      <c r="AE25" t="s">
        <v>719</v>
      </c>
      <c r="AH25" t="s">
        <v>508</v>
      </c>
    </row>
    <row r="26" spans="1:34">
      <c r="A26" t="s">
        <v>63</v>
      </c>
      <c r="B26" t="str">
        <f t="shared" si="0"/>
        <v>〇藤 亜〇子</v>
      </c>
      <c r="C26" t="s">
        <v>64</v>
      </c>
      <c r="D26" t="str">
        <f t="shared" si="1"/>
        <v>〇トウ ア〇コ</v>
      </c>
      <c r="E26" s="7">
        <v>31939</v>
      </c>
      <c r="F26" t="s">
        <v>98</v>
      </c>
      <c r="G26">
        <v>5690821</v>
      </c>
      <c r="H26" t="s">
        <v>713</v>
      </c>
      <c r="I26" t="s">
        <v>38</v>
      </c>
      <c r="J26" t="s">
        <v>770</v>
      </c>
      <c r="K26" t="str">
        <f t="shared" si="3"/>
        <v>〇之〇北</v>
      </c>
      <c r="M26" t="str">
        <f t="shared" si="4"/>
        <v/>
      </c>
      <c r="O26" t="str">
        <f t="shared" si="6"/>
        <v/>
      </c>
      <c r="P26" t="s">
        <v>771</v>
      </c>
      <c r="Q26" t="str">
        <f t="shared" si="5"/>
        <v>040-7440-0701</v>
      </c>
      <c r="R26" t="s">
        <v>717</v>
      </c>
      <c r="S26" t="s">
        <v>718</v>
      </c>
      <c r="AE26" t="s">
        <v>719</v>
      </c>
      <c r="AH26" t="s">
        <v>508</v>
      </c>
    </row>
    <row r="27" spans="1:34">
      <c r="A27" t="s">
        <v>63</v>
      </c>
      <c r="B27" t="str">
        <f t="shared" si="0"/>
        <v>〇藤 亜〇子</v>
      </c>
      <c r="C27" t="s">
        <v>64</v>
      </c>
      <c r="D27" t="str">
        <f t="shared" si="1"/>
        <v>〇トウ ア〇コ</v>
      </c>
      <c r="E27" s="7">
        <v>31939</v>
      </c>
      <c r="F27" t="s">
        <v>98</v>
      </c>
      <c r="G27">
        <v>5690821</v>
      </c>
      <c r="H27" t="s">
        <v>713</v>
      </c>
      <c r="I27" t="s">
        <v>38</v>
      </c>
      <c r="J27" t="s">
        <v>770</v>
      </c>
      <c r="K27" t="str">
        <f t="shared" si="3"/>
        <v>〇之〇北</v>
      </c>
      <c r="M27" t="str">
        <f t="shared" si="4"/>
        <v/>
      </c>
      <c r="O27" t="str">
        <f t="shared" si="6"/>
        <v/>
      </c>
      <c r="P27" t="s">
        <v>771</v>
      </c>
      <c r="Q27" t="str">
        <f t="shared" si="5"/>
        <v>040-7440-0701</v>
      </c>
      <c r="R27" t="s">
        <v>717</v>
      </c>
      <c r="S27" t="s">
        <v>718</v>
      </c>
      <c r="AE27" t="s">
        <v>719</v>
      </c>
      <c r="AH27" t="s">
        <v>508</v>
      </c>
    </row>
    <row r="28" spans="1:34">
      <c r="A28" t="s">
        <v>267</v>
      </c>
      <c r="B28" t="str">
        <f t="shared" si="0"/>
        <v>〇倉 麻〇美</v>
      </c>
      <c r="C28" t="s">
        <v>268</v>
      </c>
      <c r="D28" t="str">
        <f t="shared" si="1"/>
        <v>〇マクラ マ〇ミ</v>
      </c>
      <c r="E28" s="7">
        <v>28540</v>
      </c>
      <c r="F28" t="s">
        <v>98</v>
      </c>
      <c r="G28">
        <v>5690055</v>
      </c>
      <c r="H28" t="s">
        <v>713</v>
      </c>
      <c r="I28" t="s">
        <v>38</v>
      </c>
      <c r="J28" t="s">
        <v>772</v>
      </c>
      <c r="K28" t="str">
        <f t="shared" si="3"/>
        <v>〇冠〇丁</v>
      </c>
      <c r="M28" t="str">
        <f t="shared" si="4"/>
        <v/>
      </c>
      <c r="N28" t="s">
        <v>773</v>
      </c>
      <c r="O28" t="str">
        <f t="shared" si="6"/>
        <v>070-620-5004</v>
      </c>
      <c r="P28" t="s">
        <v>774</v>
      </c>
      <c r="Q28" t="str">
        <f t="shared" si="5"/>
        <v>040-3703-8401</v>
      </c>
      <c r="R28" t="s">
        <v>717</v>
      </c>
      <c r="S28" t="s">
        <v>718</v>
      </c>
      <c r="AE28" t="s">
        <v>719</v>
      </c>
      <c r="AH28" t="s">
        <v>508</v>
      </c>
    </row>
    <row r="29" spans="1:34">
      <c r="A29" t="s">
        <v>99</v>
      </c>
      <c r="B29" t="str">
        <f t="shared" si="0"/>
        <v>〇上 〇菜</v>
      </c>
      <c r="C29" t="s">
        <v>100</v>
      </c>
      <c r="D29" t="str">
        <f t="shared" si="1"/>
        <v>〇ワカミ ハ〇ナ</v>
      </c>
      <c r="E29" s="7">
        <v>29698</v>
      </c>
      <c r="F29" t="s">
        <v>98</v>
      </c>
      <c r="G29">
        <v>5691026</v>
      </c>
      <c r="H29" t="s">
        <v>713</v>
      </c>
      <c r="I29" t="s">
        <v>38</v>
      </c>
      <c r="J29" t="s">
        <v>775</v>
      </c>
      <c r="K29" t="str">
        <f t="shared" si="3"/>
        <v>〇が〇1</v>
      </c>
      <c r="M29" t="str">
        <f t="shared" si="4"/>
        <v/>
      </c>
      <c r="O29" t="str">
        <f t="shared" si="6"/>
        <v/>
      </c>
      <c r="P29" t="s">
        <v>776</v>
      </c>
      <c r="Q29" t="str">
        <f t="shared" si="5"/>
        <v>000-9719-2803</v>
      </c>
      <c r="R29" t="s">
        <v>717</v>
      </c>
      <c r="S29" t="s">
        <v>718</v>
      </c>
      <c r="AE29" t="s">
        <v>719</v>
      </c>
      <c r="AH29" t="s">
        <v>508</v>
      </c>
    </row>
    <row r="30" spans="1:34">
      <c r="A30" t="s">
        <v>348</v>
      </c>
      <c r="B30" t="str">
        <f t="shared" si="0"/>
        <v>〇路 〇恵</v>
      </c>
      <c r="C30" t="s">
        <v>349</v>
      </c>
      <c r="D30" t="str">
        <f t="shared" si="1"/>
        <v>〇ワジ 〇エ</v>
      </c>
      <c r="E30" s="7">
        <v>28034</v>
      </c>
      <c r="F30" t="s">
        <v>98</v>
      </c>
      <c r="G30">
        <v>5690052</v>
      </c>
      <c r="H30" t="s">
        <v>713</v>
      </c>
      <c r="I30" t="s">
        <v>38</v>
      </c>
      <c r="J30" t="s">
        <v>777</v>
      </c>
      <c r="K30" t="str">
        <f t="shared" si="3"/>
        <v>〇東〇2</v>
      </c>
      <c r="L30" t="s">
        <v>778</v>
      </c>
      <c r="M30" t="str">
        <f t="shared" si="4"/>
        <v>〇ィ〇コ</v>
      </c>
      <c r="N30" t="s">
        <v>779</v>
      </c>
      <c r="O30" t="str">
        <f t="shared" si="6"/>
        <v>070-647-7804</v>
      </c>
      <c r="P30" t="s">
        <v>780</v>
      </c>
      <c r="Q30" t="str">
        <f t="shared" si="5"/>
        <v>040-8078-5400</v>
      </c>
      <c r="R30" t="s">
        <v>717</v>
      </c>
      <c r="S30" t="s">
        <v>718</v>
      </c>
      <c r="AE30" t="s">
        <v>719</v>
      </c>
      <c r="AH30" t="s">
        <v>508</v>
      </c>
    </row>
    <row r="31" spans="1:34">
      <c r="A31" t="s">
        <v>271</v>
      </c>
      <c r="B31" t="str">
        <f t="shared" si="0"/>
        <v>〇野 千〇子</v>
      </c>
      <c r="C31" t="s">
        <v>272</v>
      </c>
      <c r="D31" t="str">
        <f t="shared" si="1"/>
        <v>〇ワノ チ〇コ</v>
      </c>
      <c r="E31" s="7">
        <v>28857</v>
      </c>
      <c r="F31" t="s">
        <v>98</v>
      </c>
      <c r="G31">
        <v>5690024</v>
      </c>
      <c r="H31" t="s">
        <v>713</v>
      </c>
      <c r="I31" t="s">
        <v>38</v>
      </c>
      <c r="J31" t="s">
        <v>781</v>
      </c>
      <c r="K31" t="str">
        <f t="shared" si="3"/>
        <v>〇向〇6</v>
      </c>
      <c r="M31" t="str">
        <f t="shared" si="4"/>
        <v/>
      </c>
      <c r="N31" t="s">
        <v>782</v>
      </c>
      <c r="O31" t="str">
        <f t="shared" si="6"/>
        <v>000-669-0803</v>
      </c>
      <c r="P31" t="s">
        <v>783</v>
      </c>
      <c r="Q31" t="str">
        <f t="shared" si="5"/>
        <v>040-6960-0702</v>
      </c>
      <c r="R31" t="s">
        <v>717</v>
      </c>
      <c r="S31" t="s">
        <v>718</v>
      </c>
      <c r="AE31" t="s">
        <v>719</v>
      </c>
      <c r="AH31" t="s">
        <v>508</v>
      </c>
    </row>
    <row r="32" spans="1:34">
      <c r="A32" t="s">
        <v>271</v>
      </c>
      <c r="B32" t="str">
        <f t="shared" si="0"/>
        <v>〇野 千〇子</v>
      </c>
      <c r="C32" t="s">
        <v>272</v>
      </c>
      <c r="D32" t="str">
        <f t="shared" si="1"/>
        <v>〇ワノ チ〇コ</v>
      </c>
      <c r="E32" s="7">
        <v>28857</v>
      </c>
      <c r="F32" t="s">
        <v>98</v>
      </c>
      <c r="G32">
        <v>5690024</v>
      </c>
      <c r="H32" t="s">
        <v>713</v>
      </c>
      <c r="I32" t="s">
        <v>38</v>
      </c>
      <c r="J32" t="s">
        <v>781</v>
      </c>
      <c r="K32" t="str">
        <f t="shared" si="3"/>
        <v>〇向〇6</v>
      </c>
      <c r="M32" t="str">
        <f t="shared" si="4"/>
        <v/>
      </c>
      <c r="N32" t="s">
        <v>782</v>
      </c>
      <c r="O32" t="str">
        <f t="shared" si="6"/>
        <v>000-669-0803</v>
      </c>
      <c r="P32" t="s">
        <v>784</v>
      </c>
      <c r="Q32" t="str">
        <f t="shared" si="5"/>
        <v>040-5066-3006</v>
      </c>
      <c r="R32" t="s">
        <v>717</v>
      </c>
      <c r="S32" t="s">
        <v>718</v>
      </c>
      <c r="AE32" t="s">
        <v>719</v>
      </c>
      <c r="AH32" t="s">
        <v>508</v>
      </c>
    </row>
    <row r="33" spans="1:34">
      <c r="A33" t="s">
        <v>437</v>
      </c>
      <c r="B33" t="str">
        <f t="shared" si="0"/>
        <v>〇人 〇奈</v>
      </c>
      <c r="C33" t="s">
        <v>438</v>
      </c>
      <c r="D33" t="str">
        <f t="shared" si="1"/>
        <v>〇ワヒト 〇ナ</v>
      </c>
      <c r="E33" s="7">
        <v>32897</v>
      </c>
      <c r="F33" t="s">
        <v>98</v>
      </c>
      <c r="G33">
        <v>5690034</v>
      </c>
      <c r="H33" t="s">
        <v>713</v>
      </c>
      <c r="I33" t="s">
        <v>38</v>
      </c>
      <c r="J33" t="s">
        <v>785</v>
      </c>
      <c r="K33" t="str">
        <f t="shared" si="3"/>
        <v>〇塚〇３</v>
      </c>
      <c r="M33" t="str">
        <f t="shared" si="4"/>
        <v/>
      </c>
      <c r="O33" t="str">
        <f t="shared" si="6"/>
        <v/>
      </c>
      <c r="P33" t="s">
        <v>786</v>
      </c>
      <c r="Q33" t="str">
        <f t="shared" si="5"/>
        <v>040-6209-0605</v>
      </c>
      <c r="R33" t="s">
        <v>717</v>
      </c>
      <c r="S33" t="s">
        <v>718</v>
      </c>
      <c r="AE33" t="s">
        <v>719</v>
      </c>
      <c r="AH33" t="s">
        <v>508</v>
      </c>
    </row>
    <row r="34" spans="1:34">
      <c r="A34" t="s">
        <v>104</v>
      </c>
      <c r="B34" t="str">
        <f t="shared" si="0"/>
        <v>〇元 〇穂</v>
      </c>
      <c r="C34" t="s">
        <v>105</v>
      </c>
      <c r="D34" t="str">
        <f t="shared" si="1"/>
        <v>〇ワモト 〇ホ</v>
      </c>
      <c r="E34" s="7">
        <v>27227</v>
      </c>
      <c r="F34" t="s">
        <v>98</v>
      </c>
      <c r="G34">
        <v>5691046</v>
      </c>
      <c r="H34" t="s">
        <v>713</v>
      </c>
      <c r="I34" t="s">
        <v>38</v>
      </c>
      <c r="J34" t="s">
        <v>787</v>
      </c>
      <c r="K34" t="str">
        <f t="shared" si="3"/>
        <v>〇原〇丁</v>
      </c>
      <c r="M34" t="str">
        <f t="shared" si="4"/>
        <v/>
      </c>
      <c r="N34" t="s">
        <v>788</v>
      </c>
      <c r="O34" t="str">
        <f t="shared" si="6"/>
        <v>000-628-9201</v>
      </c>
      <c r="P34" t="s">
        <v>789</v>
      </c>
      <c r="Q34" t="str">
        <f t="shared" si="5"/>
        <v>040-5500-2000</v>
      </c>
      <c r="R34" t="s">
        <v>717</v>
      </c>
      <c r="S34" t="s">
        <v>718</v>
      </c>
      <c r="AE34" t="s">
        <v>719</v>
      </c>
      <c r="AH34" t="s">
        <v>508</v>
      </c>
    </row>
    <row r="35" spans="1:34">
      <c r="A35" t="s">
        <v>143</v>
      </c>
      <c r="B35" t="str">
        <f t="shared" si="0"/>
        <v>〇農 真〇子</v>
      </c>
      <c r="C35" t="s">
        <v>144</v>
      </c>
      <c r="D35" t="str">
        <f t="shared" si="1"/>
        <v>〇ンノ マ〇コ</v>
      </c>
      <c r="E35" s="7">
        <v>29655</v>
      </c>
      <c r="F35" t="s">
        <v>98</v>
      </c>
      <c r="G35">
        <v>5691144</v>
      </c>
      <c r="H35" t="s">
        <v>713</v>
      </c>
      <c r="I35" t="s">
        <v>38</v>
      </c>
      <c r="J35" t="s">
        <v>790</v>
      </c>
      <c r="K35" t="str">
        <f t="shared" si="3"/>
        <v>〇畑〇1</v>
      </c>
      <c r="M35" t="str">
        <f t="shared" si="4"/>
        <v/>
      </c>
      <c r="O35" t="str">
        <f t="shared" si="6"/>
        <v/>
      </c>
      <c r="Q35" t="str">
        <f t="shared" si="5"/>
        <v/>
      </c>
      <c r="R35" t="s">
        <v>717</v>
      </c>
      <c r="S35" t="s">
        <v>718</v>
      </c>
      <c r="AE35" t="s">
        <v>719</v>
      </c>
      <c r="AH35" t="s">
        <v>508</v>
      </c>
    </row>
    <row r="36" spans="1:34">
      <c r="A36" t="s">
        <v>394</v>
      </c>
      <c r="B36" t="str">
        <f t="shared" si="0"/>
        <v>〇下 〇樹</v>
      </c>
      <c r="C36" t="s">
        <v>395</v>
      </c>
      <c r="D36" t="str">
        <f t="shared" si="1"/>
        <v>〇ノシタ 〇キ</v>
      </c>
      <c r="E36" s="7">
        <v>31134</v>
      </c>
      <c r="F36" t="s">
        <v>98</v>
      </c>
      <c r="G36">
        <v>5690821</v>
      </c>
      <c r="H36" t="s">
        <v>713</v>
      </c>
      <c r="I36" t="s">
        <v>38</v>
      </c>
      <c r="J36" t="s">
        <v>791</v>
      </c>
      <c r="K36" t="str">
        <f t="shared" si="3"/>
        <v>〇之〇北</v>
      </c>
      <c r="M36" t="str">
        <f t="shared" si="4"/>
        <v/>
      </c>
      <c r="O36" t="str">
        <f t="shared" si="6"/>
        <v/>
      </c>
      <c r="P36" t="s">
        <v>792</v>
      </c>
      <c r="Q36" t="str">
        <f t="shared" si="5"/>
        <v>040-1966-0409</v>
      </c>
      <c r="R36" t="s">
        <v>717</v>
      </c>
      <c r="S36" t="s">
        <v>718</v>
      </c>
      <c r="AE36" t="s">
        <v>719</v>
      </c>
      <c r="AH36" t="s">
        <v>508</v>
      </c>
    </row>
    <row r="37" spans="1:34">
      <c r="A37" t="s">
        <v>399</v>
      </c>
      <c r="B37" t="str">
        <f t="shared" si="0"/>
        <v>〇島 麻〇子</v>
      </c>
      <c r="C37" t="s">
        <v>400</v>
      </c>
      <c r="D37" t="str">
        <f t="shared" si="1"/>
        <v>〇〇シマ マ〇コ</v>
      </c>
      <c r="E37" s="7">
        <v>29977</v>
      </c>
      <c r="F37" t="s">
        <v>98</v>
      </c>
      <c r="G37">
        <v>5691135</v>
      </c>
      <c r="H37" t="s">
        <v>713</v>
      </c>
      <c r="I37" t="s">
        <v>38</v>
      </c>
      <c r="J37" t="s">
        <v>793</v>
      </c>
      <c r="K37" t="str">
        <f t="shared" si="3"/>
        <v>〇城〇1</v>
      </c>
      <c r="M37" t="str">
        <f t="shared" si="4"/>
        <v/>
      </c>
      <c r="O37" t="str">
        <f t="shared" si="6"/>
        <v/>
      </c>
      <c r="P37" t="s">
        <v>794</v>
      </c>
      <c r="Q37" t="str">
        <f t="shared" si="5"/>
        <v>040-5151-6009</v>
      </c>
      <c r="R37" t="s">
        <v>717</v>
      </c>
      <c r="S37" t="s">
        <v>718</v>
      </c>
      <c r="AE37" t="s">
        <v>719</v>
      </c>
      <c r="AH37" t="s">
        <v>508</v>
      </c>
    </row>
    <row r="38" spans="1:34">
      <c r="A38" t="s">
        <v>441</v>
      </c>
      <c r="B38" t="str">
        <f t="shared" si="0"/>
        <v>〇藤 智〇子</v>
      </c>
      <c r="C38" t="s">
        <v>442</v>
      </c>
      <c r="D38" t="str">
        <f t="shared" si="1"/>
        <v>〇ドウ チ〇コ</v>
      </c>
      <c r="E38" s="7">
        <v>26173</v>
      </c>
      <c r="F38" t="s">
        <v>98</v>
      </c>
      <c r="G38">
        <v>5690034</v>
      </c>
      <c r="H38" t="s">
        <v>713</v>
      </c>
      <c r="I38" t="s">
        <v>38</v>
      </c>
      <c r="J38" t="s">
        <v>795</v>
      </c>
      <c r="K38" t="str">
        <f t="shared" si="3"/>
        <v>〇塚〇1</v>
      </c>
      <c r="M38" t="str">
        <f t="shared" si="4"/>
        <v/>
      </c>
      <c r="O38" t="str">
        <f t="shared" si="6"/>
        <v/>
      </c>
      <c r="P38" t="s">
        <v>796</v>
      </c>
      <c r="Q38" t="str">
        <f t="shared" si="5"/>
        <v>040-6326-0202</v>
      </c>
      <c r="R38" t="s">
        <v>717</v>
      </c>
      <c r="S38" t="s">
        <v>718</v>
      </c>
      <c r="AE38" t="s">
        <v>719</v>
      </c>
      <c r="AH38" t="s">
        <v>508</v>
      </c>
    </row>
    <row r="39" spans="1:34">
      <c r="A39" t="s">
        <v>67</v>
      </c>
      <c r="B39" t="str">
        <f t="shared" si="0"/>
        <v>〇田 〇乃</v>
      </c>
      <c r="C39" t="s">
        <v>68</v>
      </c>
      <c r="D39" t="str">
        <f t="shared" si="1"/>
        <v>〇ロダ ア〇ノ</v>
      </c>
      <c r="E39" s="7">
        <v>31231</v>
      </c>
      <c r="F39" t="s">
        <v>98</v>
      </c>
      <c r="G39">
        <v>5690094</v>
      </c>
      <c r="H39" t="s">
        <v>713</v>
      </c>
      <c r="I39" t="s">
        <v>38</v>
      </c>
      <c r="J39" t="s">
        <v>797</v>
      </c>
      <c r="K39" t="str">
        <f t="shared" si="3"/>
        <v>〇町〇7</v>
      </c>
      <c r="M39" t="str">
        <f t="shared" si="4"/>
        <v/>
      </c>
      <c r="O39" t="str">
        <f t="shared" si="6"/>
        <v/>
      </c>
      <c r="P39" t="s">
        <v>798</v>
      </c>
      <c r="Q39" t="str">
        <f t="shared" si="5"/>
        <v>040-2006-1802</v>
      </c>
      <c r="R39" t="s">
        <v>717</v>
      </c>
      <c r="S39" t="s">
        <v>718</v>
      </c>
      <c r="AE39" t="s">
        <v>719</v>
      </c>
      <c r="AH39" t="s">
        <v>508</v>
      </c>
    </row>
    <row r="40" spans="1:34">
      <c r="A40" t="s">
        <v>297</v>
      </c>
      <c r="B40" t="str">
        <f t="shared" si="0"/>
        <v>〇前 葉〇香</v>
      </c>
      <c r="C40" t="s">
        <v>298</v>
      </c>
      <c r="D40" t="str">
        <f t="shared" si="1"/>
        <v>〇ウザキ ハ〇カ</v>
      </c>
      <c r="E40" s="7">
        <v>32116</v>
      </c>
      <c r="F40" t="s">
        <v>98</v>
      </c>
      <c r="G40">
        <v>5690042</v>
      </c>
      <c r="H40" t="s">
        <v>713</v>
      </c>
      <c r="I40" t="s">
        <v>38</v>
      </c>
      <c r="J40" t="s">
        <v>799</v>
      </c>
      <c r="K40" t="str">
        <f t="shared" si="3"/>
        <v>〇大〇町</v>
      </c>
      <c r="L40" t="s">
        <v>800</v>
      </c>
      <c r="M40" t="str">
        <f t="shared" si="4"/>
        <v>〇イ〇テ</v>
      </c>
      <c r="O40" t="str">
        <f t="shared" si="6"/>
        <v/>
      </c>
      <c r="P40">
        <v>8025196667</v>
      </c>
      <c r="Q40" t="str">
        <f t="shared" si="5"/>
        <v>8425190007</v>
      </c>
      <c r="R40" t="s">
        <v>717</v>
      </c>
      <c r="S40" t="s">
        <v>718</v>
      </c>
      <c r="AE40" t="s">
        <v>719</v>
      </c>
      <c r="AH40" t="s">
        <v>508</v>
      </c>
    </row>
    <row r="41" spans="1:34">
      <c r="A41" t="s">
        <v>147</v>
      </c>
      <c r="B41" t="str">
        <f t="shared" si="0"/>
        <v>〇野 美〇子</v>
      </c>
      <c r="C41" t="s">
        <v>148</v>
      </c>
      <c r="D41" t="str">
        <f t="shared" si="1"/>
        <v>〇ウノ ミ〇コ</v>
      </c>
      <c r="E41" s="7">
        <v>27770</v>
      </c>
      <c r="F41" t="s">
        <v>98</v>
      </c>
      <c r="G41">
        <v>5690081</v>
      </c>
      <c r="H41" t="s">
        <v>713</v>
      </c>
      <c r="I41" t="s">
        <v>38</v>
      </c>
      <c r="J41" t="s">
        <v>801</v>
      </c>
      <c r="K41" t="str">
        <f t="shared" si="3"/>
        <v>〇野〇５</v>
      </c>
      <c r="L41" t="s">
        <v>802</v>
      </c>
      <c r="M41" t="str">
        <f t="shared" si="4"/>
        <v>〇５〇２</v>
      </c>
      <c r="N41" t="s">
        <v>803</v>
      </c>
      <c r="O41" t="str">
        <f t="shared" si="6"/>
        <v>070-655-8504</v>
      </c>
      <c r="P41" t="s">
        <v>804</v>
      </c>
      <c r="Q41" t="str">
        <f t="shared" si="5"/>
        <v>040-0861-0802</v>
      </c>
      <c r="R41" t="s">
        <v>717</v>
      </c>
      <c r="S41" t="s">
        <v>718</v>
      </c>
      <c r="AE41" t="s">
        <v>719</v>
      </c>
      <c r="AH41" t="s">
        <v>508</v>
      </c>
    </row>
    <row r="42" spans="1:34">
      <c r="A42" t="s">
        <v>459</v>
      </c>
      <c r="B42" t="str">
        <f t="shared" si="0"/>
        <v>〇路 〇や</v>
      </c>
      <c r="C42" t="s">
        <v>460</v>
      </c>
      <c r="D42" t="str">
        <f t="shared" si="1"/>
        <v>〇ミチ 〇ヤ</v>
      </c>
      <c r="E42" s="7">
        <v>27648</v>
      </c>
      <c r="F42" t="s">
        <v>98</v>
      </c>
      <c r="G42">
        <v>5690046</v>
      </c>
      <c r="H42" t="s">
        <v>713</v>
      </c>
      <c r="I42" t="s">
        <v>38</v>
      </c>
      <c r="J42" t="s">
        <v>805</v>
      </c>
      <c r="K42" t="str">
        <f t="shared" si="3"/>
        <v>〇町〇番</v>
      </c>
      <c r="M42" t="str">
        <f t="shared" si="4"/>
        <v/>
      </c>
      <c r="O42" t="str">
        <f t="shared" si="6"/>
        <v/>
      </c>
      <c r="Q42" t="str">
        <f t="shared" si="5"/>
        <v/>
      </c>
      <c r="R42" t="s">
        <v>717</v>
      </c>
      <c r="S42" t="s">
        <v>718</v>
      </c>
      <c r="AE42" t="s">
        <v>719</v>
      </c>
      <c r="AH42" t="s">
        <v>508</v>
      </c>
    </row>
    <row r="43" spans="1:34">
      <c r="A43" t="s">
        <v>71</v>
      </c>
      <c r="B43" t="str">
        <f t="shared" si="0"/>
        <v>〇本 〇子</v>
      </c>
      <c r="C43" t="s">
        <v>72</v>
      </c>
      <c r="D43" t="str">
        <f t="shared" si="1"/>
        <v>〇カモト カ〇コ</v>
      </c>
      <c r="E43" s="7">
        <v>27341</v>
      </c>
      <c r="F43" t="s">
        <v>41</v>
      </c>
      <c r="G43">
        <v>5690097</v>
      </c>
      <c r="H43" t="s">
        <v>713</v>
      </c>
      <c r="I43" t="s">
        <v>38</v>
      </c>
      <c r="J43" t="s">
        <v>806</v>
      </c>
      <c r="K43" t="str">
        <f t="shared" si="3"/>
        <v>〇垣〇3</v>
      </c>
      <c r="L43" t="s">
        <v>807</v>
      </c>
      <c r="M43" t="str">
        <f t="shared" si="4"/>
        <v>〇イ〇西</v>
      </c>
      <c r="O43" t="str">
        <f t="shared" si="6"/>
        <v/>
      </c>
      <c r="P43" t="s">
        <v>808</v>
      </c>
      <c r="Q43" t="str">
        <f t="shared" si="5"/>
        <v>040-4279-6400</v>
      </c>
      <c r="R43" t="s">
        <v>717</v>
      </c>
      <c r="S43" t="s">
        <v>718</v>
      </c>
      <c r="AE43" t="s">
        <v>719</v>
      </c>
      <c r="AH43" t="s">
        <v>508</v>
      </c>
    </row>
    <row r="44" spans="1:34">
      <c r="A44" t="s">
        <v>467</v>
      </c>
      <c r="B44" t="str">
        <f t="shared" si="0"/>
        <v>〇岡 〇子</v>
      </c>
      <c r="C44" t="s">
        <v>468</v>
      </c>
      <c r="D44" t="str">
        <f t="shared" si="1"/>
        <v>〇サオカ ジユ〇コ</v>
      </c>
      <c r="E44" s="7">
        <v>30471</v>
      </c>
      <c r="F44" t="s">
        <v>98</v>
      </c>
      <c r="G44">
        <v>5690056</v>
      </c>
      <c r="H44" t="s">
        <v>713</v>
      </c>
      <c r="I44" t="s">
        <v>38</v>
      </c>
      <c r="J44" t="s">
        <v>809</v>
      </c>
      <c r="K44" t="str">
        <f t="shared" si="3"/>
        <v>〇南〇4</v>
      </c>
      <c r="M44" t="str">
        <f t="shared" si="4"/>
        <v/>
      </c>
      <c r="O44" t="str">
        <f t="shared" si="6"/>
        <v/>
      </c>
      <c r="P44">
        <v>9053674251</v>
      </c>
      <c r="Q44" t="str">
        <f t="shared" si="5"/>
        <v>9403674201</v>
      </c>
      <c r="R44" t="s">
        <v>717</v>
      </c>
      <c r="S44" t="s">
        <v>718</v>
      </c>
      <c r="AE44" t="s">
        <v>719</v>
      </c>
      <c r="AH44" t="s">
        <v>508</v>
      </c>
    </row>
    <row r="45" spans="1:34">
      <c r="A45" t="s">
        <v>445</v>
      </c>
      <c r="B45" t="str">
        <f t="shared" si="0"/>
        <v>〇田 〇里</v>
      </c>
      <c r="C45" t="s">
        <v>446</v>
      </c>
      <c r="D45" t="str">
        <f t="shared" si="1"/>
        <v>〇ダ ミ〇ト</v>
      </c>
      <c r="E45" s="7">
        <v>33279</v>
      </c>
      <c r="F45" t="s">
        <v>98</v>
      </c>
      <c r="G45">
        <v>5690823</v>
      </c>
      <c r="H45" t="s">
        <v>713</v>
      </c>
      <c r="I45" t="s">
        <v>38</v>
      </c>
      <c r="J45" t="s">
        <v>810</v>
      </c>
      <c r="K45" t="str">
        <f t="shared" si="3"/>
        <v>〇生〇2</v>
      </c>
      <c r="M45" t="str">
        <f t="shared" si="4"/>
        <v/>
      </c>
      <c r="O45" t="str">
        <f t="shared" si="6"/>
        <v/>
      </c>
      <c r="P45">
        <v>9063243358</v>
      </c>
      <c r="Q45" t="str">
        <f t="shared" si="5"/>
        <v>9463243308</v>
      </c>
      <c r="R45" t="s">
        <v>723</v>
      </c>
      <c r="S45" t="s">
        <v>718</v>
      </c>
      <c r="AE45" t="s">
        <v>719</v>
      </c>
      <c r="AH45" t="s">
        <v>508</v>
      </c>
    </row>
    <row r="46" spans="1:34">
      <c r="A46" t="s">
        <v>403</v>
      </c>
      <c r="B46" t="str">
        <f t="shared" si="0"/>
        <v>〇藤〇圭</v>
      </c>
      <c r="C46" t="s">
        <v>404</v>
      </c>
      <c r="D46" t="str">
        <f t="shared" si="1"/>
        <v>〇トウ 〇イ</v>
      </c>
      <c r="E46" s="7">
        <v>31827</v>
      </c>
      <c r="F46" t="s">
        <v>41</v>
      </c>
      <c r="G46">
        <v>5730065</v>
      </c>
      <c r="H46" t="s">
        <v>713</v>
      </c>
      <c r="I46" t="s">
        <v>405</v>
      </c>
      <c r="J46" t="s">
        <v>811</v>
      </c>
      <c r="K46" t="str">
        <f t="shared" si="3"/>
        <v>〇口〇丁</v>
      </c>
      <c r="M46" t="str">
        <f t="shared" si="4"/>
        <v/>
      </c>
      <c r="O46" t="str">
        <f t="shared" si="6"/>
        <v/>
      </c>
      <c r="P46" t="s">
        <v>812</v>
      </c>
      <c r="Q46" t="str">
        <f t="shared" si="5"/>
        <v>040-4401-0001</v>
      </c>
      <c r="R46" t="s">
        <v>717</v>
      </c>
      <c r="S46" t="s">
        <v>718</v>
      </c>
      <c r="AE46" t="s">
        <v>719</v>
      </c>
      <c r="AH46" t="s">
        <v>508</v>
      </c>
    </row>
    <row r="47" spans="1:34">
      <c r="A47" t="s">
        <v>409</v>
      </c>
      <c r="B47" t="str">
        <f t="shared" si="0"/>
        <v>〇田 〇鈴</v>
      </c>
      <c r="C47" t="s">
        <v>410</v>
      </c>
      <c r="D47" t="str">
        <f t="shared" si="1"/>
        <v>〇マダ ミ〇ズ</v>
      </c>
      <c r="E47" s="7">
        <v>27762</v>
      </c>
      <c r="F47" t="s">
        <v>98</v>
      </c>
      <c r="G47">
        <v>5690811</v>
      </c>
      <c r="H47" t="s">
        <v>713</v>
      </c>
      <c r="I47" t="s">
        <v>38</v>
      </c>
      <c r="J47" t="s">
        <v>813</v>
      </c>
      <c r="K47" t="str">
        <f t="shared" si="3"/>
        <v>〇五〇住</v>
      </c>
      <c r="M47" t="str">
        <f t="shared" si="4"/>
        <v/>
      </c>
      <c r="N47" t="s">
        <v>814</v>
      </c>
      <c r="O47" t="str">
        <f t="shared" si="6"/>
        <v>070-694-4500</v>
      </c>
      <c r="P47" t="s">
        <v>815</v>
      </c>
      <c r="Q47" t="str">
        <f t="shared" si="5"/>
        <v>040-3920-4900</v>
      </c>
      <c r="R47" t="s">
        <v>717</v>
      </c>
      <c r="S47" t="s">
        <v>718</v>
      </c>
      <c r="AE47" t="s">
        <v>719</v>
      </c>
      <c r="AH47" t="s">
        <v>508</v>
      </c>
    </row>
    <row r="48" spans="1:34">
      <c r="A48" t="s">
        <v>302</v>
      </c>
      <c r="B48" t="str">
        <f t="shared" si="0"/>
        <v>〇水〇宰</v>
      </c>
      <c r="C48" t="s">
        <v>303</v>
      </c>
      <c r="D48" t="str">
        <f t="shared" si="1"/>
        <v>〇ミズ ツ〇サ</v>
      </c>
      <c r="E48" s="7">
        <v>29465</v>
      </c>
      <c r="F48" t="s">
        <v>41</v>
      </c>
      <c r="G48">
        <v>5670025</v>
      </c>
      <c r="H48" t="s">
        <v>713</v>
      </c>
      <c r="I48" t="s">
        <v>126</v>
      </c>
      <c r="J48" t="s">
        <v>816</v>
      </c>
      <c r="K48" t="str">
        <f t="shared" si="3"/>
        <v>〇中〇1</v>
      </c>
      <c r="M48" t="str">
        <f t="shared" si="4"/>
        <v/>
      </c>
      <c r="O48" t="str">
        <f t="shared" si="6"/>
        <v/>
      </c>
      <c r="P48" t="s">
        <v>817</v>
      </c>
      <c r="Q48" t="str">
        <f t="shared" si="5"/>
        <v>040-0893-6003</v>
      </c>
      <c r="R48" t="s">
        <v>717</v>
      </c>
      <c r="S48" t="s">
        <v>718</v>
      </c>
      <c r="AE48" t="s">
        <v>719</v>
      </c>
      <c r="AH48" t="s">
        <v>508</v>
      </c>
    </row>
    <row r="49" spans="1:34">
      <c r="A49" t="s">
        <v>232</v>
      </c>
      <c r="B49" t="str">
        <f t="shared" si="0"/>
        <v>〇蔵原 〇弓</v>
      </c>
      <c r="C49" t="s">
        <v>233</v>
      </c>
      <c r="D49" t="str">
        <f t="shared" si="1"/>
        <v>〇ゾウハラ マ〇ミ</v>
      </c>
      <c r="E49" s="7">
        <v>27342</v>
      </c>
      <c r="F49" t="s">
        <v>98</v>
      </c>
      <c r="G49">
        <v>5690054</v>
      </c>
      <c r="H49" t="s">
        <v>713</v>
      </c>
      <c r="I49" t="s">
        <v>38</v>
      </c>
      <c r="J49" t="s">
        <v>818</v>
      </c>
      <c r="K49" t="str">
        <f t="shared" si="3"/>
        <v>〇松〇1</v>
      </c>
      <c r="L49" t="s">
        <v>819</v>
      </c>
      <c r="M49" t="str">
        <f t="shared" si="4"/>
        <v>〇ン〇ャ</v>
      </c>
      <c r="O49" t="str">
        <f t="shared" si="6"/>
        <v/>
      </c>
      <c r="P49" t="s">
        <v>820</v>
      </c>
      <c r="Q49" t="str">
        <f t="shared" si="5"/>
        <v>040-7588-5000</v>
      </c>
      <c r="R49" t="s">
        <v>717</v>
      </c>
      <c r="S49" t="s">
        <v>718</v>
      </c>
      <c r="AE49" t="s">
        <v>719</v>
      </c>
      <c r="AH49" t="s">
        <v>508</v>
      </c>
    </row>
    <row r="50" spans="1:34">
      <c r="A50" t="s">
        <v>289</v>
      </c>
      <c r="B50" t="str">
        <f t="shared" si="0"/>
        <v>〇 眞〇枝</v>
      </c>
      <c r="C50" t="s">
        <v>290</v>
      </c>
      <c r="D50" t="str">
        <f t="shared" si="1"/>
        <v>〇ミ マ〇エ</v>
      </c>
      <c r="E50" s="7">
        <v>26545</v>
      </c>
      <c r="F50" t="s">
        <v>98</v>
      </c>
      <c r="G50">
        <v>5690056</v>
      </c>
      <c r="H50" t="s">
        <v>713</v>
      </c>
      <c r="I50" t="s">
        <v>38</v>
      </c>
      <c r="J50" t="s">
        <v>821</v>
      </c>
      <c r="K50" t="str">
        <f t="shared" si="3"/>
        <v>〇南〇1</v>
      </c>
      <c r="M50" t="str">
        <f t="shared" si="4"/>
        <v/>
      </c>
      <c r="O50" t="str">
        <f t="shared" si="6"/>
        <v/>
      </c>
      <c r="Q50" t="str">
        <f t="shared" si="5"/>
        <v/>
      </c>
      <c r="R50" t="s">
        <v>717</v>
      </c>
      <c r="S50" t="s">
        <v>718</v>
      </c>
      <c r="AE50" t="s">
        <v>719</v>
      </c>
      <c r="AH50" t="s">
        <v>508</v>
      </c>
    </row>
    <row r="51" spans="1:34">
      <c r="A51" t="s">
        <v>236</v>
      </c>
      <c r="B51" t="str">
        <f t="shared" si="0"/>
        <v>〇木 〇美</v>
      </c>
      <c r="C51" t="s">
        <v>237</v>
      </c>
      <c r="D51" t="str">
        <f t="shared" si="1"/>
        <v>〇カギ ア〇ミ</v>
      </c>
      <c r="E51" s="7">
        <v>32115</v>
      </c>
      <c r="F51" t="s">
        <v>98</v>
      </c>
      <c r="G51">
        <v>5690036</v>
      </c>
      <c r="H51" t="s">
        <v>713</v>
      </c>
      <c r="I51" t="s">
        <v>38</v>
      </c>
      <c r="J51" t="s">
        <v>822</v>
      </c>
      <c r="K51" t="str">
        <f t="shared" si="3"/>
        <v>〇子〇丁</v>
      </c>
      <c r="L51" t="s">
        <v>823</v>
      </c>
      <c r="M51" t="str">
        <f t="shared" si="4"/>
        <v>〇・〇ー</v>
      </c>
      <c r="O51" t="str">
        <f t="shared" si="6"/>
        <v/>
      </c>
      <c r="P51" t="s">
        <v>824</v>
      </c>
      <c r="Q51" t="str">
        <f t="shared" si="5"/>
        <v>040-1150-5706</v>
      </c>
      <c r="R51" t="s">
        <v>717</v>
      </c>
      <c r="S51" t="s">
        <v>718</v>
      </c>
      <c r="AE51" t="s">
        <v>719</v>
      </c>
      <c r="AH51" t="s">
        <v>508</v>
      </c>
    </row>
    <row r="52" spans="1:34">
      <c r="A52" t="s">
        <v>352</v>
      </c>
      <c r="B52" t="str">
        <f t="shared" si="0"/>
        <v>〇松 日〇美</v>
      </c>
      <c r="C52" t="s">
        <v>353</v>
      </c>
      <c r="D52" t="str">
        <f t="shared" si="1"/>
        <v>〇カマツ ヒ〇ミ</v>
      </c>
      <c r="E52" s="7">
        <v>29558</v>
      </c>
      <c r="F52" t="s">
        <v>98</v>
      </c>
      <c r="G52">
        <v>5691113</v>
      </c>
      <c r="H52" t="s">
        <v>713</v>
      </c>
      <c r="I52" t="s">
        <v>38</v>
      </c>
      <c r="J52" t="s">
        <v>825</v>
      </c>
      <c r="K52" t="str">
        <f t="shared" si="3"/>
        <v>〇所〇の</v>
      </c>
      <c r="M52" t="str">
        <f t="shared" si="4"/>
        <v/>
      </c>
      <c r="O52" t="str">
        <f t="shared" si="6"/>
        <v/>
      </c>
      <c r="P52" t="s">
        <v>826</v>
      </c>
      <c r="Q52" t="str">
        <f t="shared" si="5"/>
        <v>040-9116-6901</v>
      </c>
      <c r="R52" t="s">
        <v>717</v>
      </c>
      <c r="S52" t="s">
        <v>718</v>
      </c>
      <c r="AE52" t="s">
        <v>719</v>
      </c>
      <c r="AH52" t="s">
        <v>508</v>
      </c>
    </row>
    <row r="53" spans="1:34">
      <c r="A53" t="s">
        <v>186</v>
      </c>
      <c r="B53" t="str">
        <f t="shared" si="0"/>
        <v>〇柳〇綾</v>
      </c>
      <c r="C53" t="s">
        <v>187</v>
      </c>
      <c r="D53" t="str">
        <f t="shared" si="1"/>
        <v>〇カヤナギ 〇ヤ</v>
      </c>
      <c r="E53" s="7">
        <v>26237</v>
      </c>
      <c r="F53" t="s">
        <v>98</v>
      </c>
      <c r="G53">
        <v>5690022</v>
      </c>
      <c r="H53" t="s">
        <v>713</v>
      </c>
      <c r="I53" t="s">
        <v>38</v>
      </c>
      <c r="J53" t="s">
        <v>827</v>
      </c>
      <c r="K53" t="str">
        <f t="shared" si="3"/>
        <v>〇賀〇4</v>
      </c>
      <c r="M53" t="str">
        <f t="shared" si="4"/>
        <v/>
      </c>
      <c r="N53" t="s">
        <v>507</v>
      </c>
      <c r="O53" t="str">
        <f t="shared" si="6"/>
        <v>070-671-4804</v>
      </c>
      <c r="P53" t="s">
        <v>828</v>
      </c>
      <c r="Q53" t="str">
        <f t="shared" si="5"/>
        <v>000-3038-0101</v>
      </c>
      <c r="R53" t="s">
        <v>717</v>
      </c>
      <c r="S53" t="s">
        <v>718</v>
      </c>
      <c r="AE53" t="s">
        <v>719</v>
      </c>
      <c r="AH53" t="s">
        <v>508</v>
      </c>
    </row>
    <row r="54" spans="1:34">
      <c r="A54" t="s">
        <v>307</v>
      </c>
      <c r="B54" t="str">
        <f t="shared" si="0"/>
        <v>〇山 〇菜</v>
      </c>
      <c r="C54" t="s">
        <v>308</v>
      </c>
      <c r="D54" t="str">
        <f t="shared" si="1"/>
        <v>〇ケヤマ ア〇ナ</v>
      </c>
      <c r="E54" s="7">
        <v>30349</v>
      </c>
      <c r="F54" t="s">
        <v>98</v>
      </c>
      <c r="G54">
        <v>5690041</v>
      </c>
      <c r="H54" t="s">
        <v>713</v>
      </c>
      <c r="I54" t="s">
        <v>38</v>
      </c>
      <c r="J54" t="s">
        <v>829</v>
      </c>
      <c r="K54" t="str">
        <f t="shared" si="3"/>
        <v>〇大〇町</v>
      </c>
      <c r="M54" t="str">
        <f t="shared" si="4"/>
        <v/>
      </c>
      <c r="O54" t="str">
        <f t="shared" si="6"/>
        <v/>
      </c>
      <c r="P54" t="s">
        <v>830</v>
      </c>
      <c r="Q54" t="str">
        <f t="shared" si="5"/>
        <v>040-4062-2109</v>
      </c>
      <c r="R54" t="s">
        <v>717</v>
      </c>
      <c r="S54" t="s">
        <v>718</v>
      </c>
      <c r="AE54" t="s">
        <v>719</v>
      </c>
      <c r="AH54" t="s">
        <v>508</v>
      </c>
    </row>
    <row r="55" spans="1:34">
      <c r="A55" t="s">
        <v>356</v>
      </c>
      <c r="B55" t="str">
        <f t="shared" si="0"/>
        <v>〇 〇沙</v>
      </c>
      <c r="C55" t="s">
        <v>357</v>
      </c>
      <c r="D55" t="str">
        <f t="shared" si="1"/>
        <v>〇ジ 〇サ</v>
      </c>
      <c r="E55" s="7">
        <v>27964</v>
      </c>
      <c r="F55" t="s">
        <v>98</v>
      </c>
      <c r="G55">
        <v>5691034</v>
      </c>
      <c r="H55" t="s">
        <v>713</v>
      </c>
      <c r="I55" t="s">
        <v>38</v>
      </c>
      <c r="J55" t="s">
        <v>831</v>
      </c>
      <c r="K55" t="str">
        <f t="shared" si="3"/>
        <v>〇蔵〇2</v>
      </c>
      <c r="M55" t="str">
        <f t="shared" si="4"/>
        <v/>
      </c>
      <c r="O55" t="str">
        <f t="shared" si="6"/>
        <v/>
      </c>
      <c r="P55" t="s">
        <v>832</v>
      </c>
      <c r="Q55" t="str">
        <f t="shared" si="5"/>
        <v>040-1010-3107</v>
      </c>
      <c r="R55" t="s">
        <v>717</v>
      </c>
      <c r="S55" t="s">
        <v>718</v>
      </c>
      <c r="AE55" t="s">
        <v>719</v>
      </c>
      <c r="AH55" t="s">
        <v>508</v>
      </c>
    </row>
    <row r="56" spans="1:34">
      <c r="A56" t="s">
        <v>255</v>
      </c>
      <c r="B56" t="str">
        <f t="shared" si="0"/>
        <v>〇水 〇子</v>
      </c>
      <c r="C56" t="s">
        <v>256</v>
      </c>
      <c r="D56" t="str">
        <f t="shared" si="1"/>
        <v>〇ツミズ ヨ〇コ</v>
      </c>
      <c r="E56" s="7">
        <v>27153</v>
      </c>
      <c r="F56" t="s">
        <v>98</v>
      </c>
      <c r="G56">
        <v>5690053</v>
      </c>
      <c r="H56" t="s">
        <v>713</v>
      </c>
      <c r="I56" t="s">
        <v>38</v>
      </c>
      <c r="J56" t="s">
        <v>833</v>
      </c>
      <c r="K56" t="str">
        <f t="shared" si="3"/>
        <v>〇日〇１</v>
      </c>
      <c r="M56" t="str">
        <f t="shared" si="4"/>
        <v/>
      </c>
      <c r="N56" t="s">
        <v>834</v>
      </c>
      <c r="O56" t="str">
        <f t="shared" si="6"/>
        <v>070-675-5709</v>
      </c>
      <c r="P56" t="s">
        <v>835</v>
      </c>
      <c r="Q56" t="str">
        <f t="shared" si="5"/>
        <v>040-3848-9708</v>
      </c>
      <c r="R56" t="s">
        <v>717</v>
      </c>
      <c r="S56" t="s">
        <v>718</v>
      </c>
      <c r="AE56" t="s">
        <v>719</v>
      </c>
      <c r="AH56" t="s">
        <v>766</v>
      </c>
    </row>
    <row r="57" spans="1:34">
      <c r="A57" t="s">
        <v>108</v>
      </c>
      <c r="B57" t="str">
        <f t="shared" si="0"/>
        <v>〇迫〇愛</v>
      </c>
      <c r="C57" t="s">
        <v>109</v>
      </c>
      <c r="D57" t="str">
        <f t="shared" si="1"/>
        <v>〇ラサコ 〇イ</v>
      </c>
      <c r="E57" s="7">
        <v>30729</v>
      </c>
      <c r="F57" t="s">
        <v>98</v>
      </c>
      <c r="G57">
        <v>5690036</v>
      </c>
      <c r="H57" t="s">
        <v>713</v>
      </c>
      <c r="I57" t="s">
        <v>38</v>
      </c>
      <c r="J57" t="s">
        <v>836</v>
      </c>
      <c r="K57" t="str">
        <f t="shared" si="3"/>
        <v>〇子〇-</v>
      </c>
      <c r="M57" t="str">
        <f t="shared" si="4"/>
        <v/>
      </c>
      <c r="O57" t="str">
        <f t="shared" si="6"/>
        <v/>
      </c>
      <c r="P57" t="s">
        <v>837</v>
      </c>
      <c r="Q57" t="str">
        <f t="shared" si="5"/>
        <v>040-1898-0400</v>
      </c>
      <c r="R57" t="s">
        <v>717</v>
      </c>
      <c r="S57" t="s">
        <v>718</v>
      </c>
      <c r="AE57" t="s">
        <v>719</v>
      </c>
      <c r="AH57" t="s">
        <v>508</v>
      </c>
    </row>
    <row r="58" spans="1:34">
      <c r="A58" t="s">
        <v>55</v>
      </c>
      <c r="B58" t="str">
        <f t="shared" si="0"/>
        <v>〇田 〇月</v>
      </c>
      <c r="C58" t="s">
        <v>56</v>
      </c>
      <c r="D58" t="str">
        <f t="shared" si="1"/>
        <v>〇ラダ ハ〇キ</v>
      </c>
      <c r="E58" s="7">
        <v>34752</v>
      </c>
      <c r="F58" t="s">
        <v>98</v>
      </c>
      <c r="G58">
        <v>5690042</v>
      </c>
      <c r="H58" t="s">
        <v>713</v>
      </c>
      <c r="I58" t="s">
        <v>38</v>
      </c>
      <c r="J58" t="s">
        <v>838</v>
      </c>
      <c r="K58" t="str">
        <f t="shared" si="3"/>
        <v>〇大〇町</v>
      </c>
      <c r="M58" t="str">
        <f t="shared" si="4"/>
        <v/>
      </c>
      <c r="O58" t="str">
        <f t="shared" si="6"/>
        <v/>
      </c>
      <c r="P58" t="s">
        <v>839</v>
      </c>
      <c r="Q58" t="str">
        <f t="shared" si="5"/>
        <v>040-3044-4107</v>
      </c>
      <c r="R58" t="s">
        <v>723</v>
      </c>
      <c r="S58" t="s">
        <v>718</v>
      </c>
      <c r="AE58" t="s">
        <v>719</v>
      </c>
      <c r="AH58" t="s">
        <v>766</v>
      </c>
    </row>
    <row r="59" spans="1:34">
      <c r="A59" t="s">
        <v>413</v>
      </c>
      <c r="B59" t="str">
        <f t="shared" si="0"/>
        <v>〇本 〇子</v>
      </c>
      <c r="C59" t="s">
        <v>414</v>
      </c>
      <c r="D59" t="str">
        <f t="shared" si="1"/>
        <v>〇ラモト ノ〇コ</v>
      </c>
      <c r="E59" s="7">
        <v>24701</v>
      </c>
      <c r="F59" t="s">
        <v>98</v>
      </c>
      <c r="G59">
        <v>5690034</v>
      </c>
      <c r="H59" t="s">
        <v>713</v>
      </c>
      <c r="I59" t="s">
        <v>38</v>
      </c>
      <c r="J59" t="s">
        <v>840</v>
      </c>
      <c r="K59" t="str">
        <f t="shared" si="3"/>
        <v>〇塚〇2</v>
      </c>
      <c r="M59" t="str">
        <f t="shared" si="4"/>
        <v/>
      </c>
      <c r="N59" t="s">
        <v>517</v>
      </c>
      <c r="O59" t="str">
        <f t="shared" si="6"/>
        <v>070-675-1306</v>
      </c>
      <c r="P59" t="s">
        <v>841</v>
      </c>
      <c r="Q59" t="str">
        <f t="shared" si="5"/>
        <v>040-5677-5708</v>
      </c>
      <c r="R59" t="s">
        <v>717</v>
      </c>
      <c r="S59" t="s">
        <v>718</v>
      </c>
      <c r="AE59" t="s">
        <v>719</v>
      </c>
      <c r="AH59" t="s">
        <v>508</v>
      </c>
    </row>
    <row r="60" spans="1:34">
      <c r="A60" t="s">
        <v>449</v>
      </c>
      <c r="B60" t="str">
        <f t="shared" si="0"/>
        <v>〇山 〇子</v>
      </c>
      <c r="C60" t="s">
        <v>450</v>
      </c>
      <c r="D60" t="str">
        <f t="shared" si="1"/>
        <v>〇オヤマ ミ〇コ</v>
      </c>
      <c r="E60" s="7">
        <v>29170</v>
      </c>
      <c r="F60" t="s">
        <v>98</v>
      </c>
      <c r="G60">
        <v>5690036</v>
      </c>
      <c r="H60" t="s">
        <v>713</v>
      </c>
      <c r="I60" t="s">
        <v>38</v>
      </c>
      <c r="J60" t="s">
        <v>842</v>
      </c>
      <c r="K60" t="str">
        <f t="shared" si="3"/>
        <v>〇子〇丁</v>
      </c>
      <c r="M60" t="str">
        <f t="shared" si="4"/>
        <v/>
      </c>
      <c r="N60" t="s">
        <v>520</v>
      </c>
      <c r="O60" t="str">
        <f t="shared" si="6"/>
        <v>070-620-0204</v>
      </c>
      <c r="P60" t="s">
        <v>843</v>
      </c>
      <c r="Q60" t="str">
        <f t="shared" si="5"/>
        <v>040-0032-4905</v>
      </c>
      <c r="R60" t="s">
        <v>717</v>
      </c>
      <c r="S60" t="s">
        <v>718</v>
      </c>
      <c r="AE60" t="s">
        <v>719</v>
      </c>
      <c r="AH60" t="s">
        <v>508</v>
      </c>
    </row>
    <row r="61" spans="1:34">
      <c r="A61" t="s">
        <v>360</v>
      </c>
      <c r="B61" t="str">
        <f t="shared" si="0"/>
        <v>〇岡 〇子</v>
      </c>
      <c r="C61" t="s">
        <v>361</v>
      </c>
      <c r="D61" t="str">
        <f t="shared" si="1"/>
        <v>〇ミオカ カ〇コ</v>
      </c>
      <c r="E61" s="7">
        <v>29028</v>
      </c>
      <c r="F61" t="s">
        <v>98</v>
      </c>
      <c r="G61">
        <v>5690823</v>
      </c>
      <c r="H61" t="s">
        <v>713</v>
      </c>
      <c r="I61" t="s">
        <v>38</v>
      </c>
      <c r="J61" t="s">
        <v>844</v>
      </c>
      <c r="K61" t="str">
        <f t="shared" si="3"/>
        <v>〇生〇1</v>
      </c>
      <c r="M61" t="str">
        <f t="shared" si="4"/>
        <v/>
      </c>
      <c r="N61" t="s">
        <v>522</v>
      </c>
      <c r="O61" t="str">
        <f t="shared" si="6"/>
        <v>070-628-4308</v>
      </c>
      <c r="P61" t="s">
        <v>845</v>
      </c>
      <c r="Q61" t="str">
        <f t="shared" si="5"/>
        <v>040-2111-3301</v>
      </c>
      <c r="R61" t="s">
        <v>717</v>
      </c>
      <c r="S61" t="s">
        <v>718</v>
      </c>
      <c r="AE61" t="s">
        <v>719</v>
      </c>
      <c r="AH61" t="s">
        <v>508</v>
      </c>
    </row>
    <row r="62" spans="1:34">
      <c r="A62" t="s">
        <v>360</v>
      </c>
      <c r="B62" t="str">
        <f t="shared" si="0"/>
        <v>〇岡 〇子</v>
      </c>
      <c r="C62" t="s">
        <v>361</v>
      </c>
      <c r="D62" t="str">
        <f t="shared" si="1"/>
        <v>〇ミオカ カ〇コ</v>
      </c>
      <c r="E62" s="7">
        <v>29028</v>
      </c>
      <c r="F62" t="s">
        <v>98</v>
      </c>
      <c r="G62">
        <v>5690823</v>
      </c>
      <c r="H62" t="s">
        <v>713</v>
      </c>
      <c r="I62" t="s">
        <v>38</v>
      </c>
      <c r="J62" t="s">
        <v>846</v>
      </c>
      <c r="K62" t="str">
        <f t="shared" si="3"/>
        <v>〇生〇１</v>
      </c>
      <c r="M62" t="str">
        <f t="shared" si="4"/>
        <v/>
      </c>
      <c r="N62" t="s">
        <v>522</v>
      </c>
      <c r="O62" t="str">
        <f t="shared" si="6"/>
        <v>070-628-4308</v>
      </c>
      <c r="P62" t="s">
        <v>845</v>
      </c>
      <c r="Q62" t="str">
        <f t="shared" si="5"/>
        <v>040-2111-3301</v>
      </c>
      <c r="R62" t="s">
        <v>717</v>
      </c>
      <c r="S62" t="s">
        <v>718</v>
      </c>
      <c r="AE62" t="s">
        <v>719</v>
      </c>
      <c r="AH62" t="s">
        <v>508</v>
      </c>
    </row>
    <row r="63" spans="1:34">
      <c r="A63" t="s">
        <v>487</v>
      </c>
      <c r="B63" t="str">
        <f t="shared" si="0"/>
        <v>〇橋〇愛</v>
      </c>
      <c r="C63" t="s">
        <v>488</v>
      </c>
      <c r="D63" t="str">
        <f t="shared" si="1"/>
        <v>〇バシ 〇イ</v>
      </c>
      <c r="E63" s="7">
        <v>30834</v>
      </c>
      <c r="F63" t="s">
        <v>98</v>
      </c>
      <c r="G63">
        <v>5691022</v>
      </c>
      <c r="H63" t="s">
        <v>713</v>
      </c>
      <c r="I63" t="s">
        <v>38</v>
      </c>
      <c r="J63" t="s">
        <v>847</v>
      </c>
      <c r="K63" t="str">
        <f t="shared" si="3"/>
        <v>〇吉〇五</v>
      </c>
      <c r="M63" t="str">
        <f t="shared" si="4"/>
        <v/>
      </c>
      <c r="N63" t="s">
        <v>526</v>
      </c>
      <c r="O63" t="str">
        <f t="shared" si="6"/>
        <v>070-655-5105</v>
      </c>
      <c r="P63" t="s">
        <v>848</v>
      </c>
      <c r="Q63" t="str">
        <f t="shared" si="5"/>
        <v>040-8367-9909</v>
      </c>
      <c r="R63" t="s">
        <v>717</v>
      </c>
      <c r="S63" t="s">
        <v>718</v>
      </c>
      <c r="AE63" t="s">
        <v>719</v>
      </c>
      <c r="AH63" t="s">
        <v>508</v>
      </c>
    </row>
    <row r="64" spans="1:34">
      <c r="A64" t="s">
        <v>364</v>
      </c>
      <c r="B64" t="str">
        <f t="shared" si="0"/>
        <v>〇藤 有〇美</v>
      </c>
      <c r="C64" t="s">
        <v>365</v>
      </c>
      <c r="D64" t="str">
        <f t="shared" si="1"/>
        <v>〇イトウ ア〇ミ</v>
      </c>
      <c r="E64" s="7">
        <v>41993</v>
      </c>
      <c r="F64" t="s">
        <v>98</v>
      </c>
      <c r="G64">
        <v>5690064</v>
      </c>
      <c r="H64" t="s">
        <v>713</v>
      </c>
      <c r="I64" t="s">
        <v>38</v>
      </c>
      <c r="J64" t="s">
        <v>849</v>
      </c>
      <c r="K64" t="str">
        <f t="shared" si="3"/>
        <v>〇所〇1</v>
      </c>
      <c r="M64" t="str">
        <f t="shared" si="4"/>
        <v/>
      </c>
      <c r="N64" t="s">
        <v>528</v>
      </c>
      <c r="O64" t="str">
        <f t="shared" si="6"/>
        <v>070-629-4309</v>
      </c>
      <c r="P64" t="s">
        <v>850</v>
      </c>
      <c r="Q64" t="str">
        <f t="shared" si="5"/>
        <v>040-0448-3104</v>
      </c>
      <c r="R64" t="s">
        <v>717</v>
      </c>
      <c r="S64" t="s">
        <v>718</v>
      </c>
      <c r="AE64" t="s">
        <v>719</v>
      </c>
      <c r="AH64" t="s">
        <v>508</v>
      </c>
    </row>
    <row r="65" spans="1:34">
      <c r="A65" t="s">
        <v>59</v>
      </c>
      <c r="B65" t="str">
        <f t="shared" si="0"/>
        <v>〇杉 〇代</v>
      </c>
      <c r="C65" t="s">
        <v>60</v>
      </c>
      <c r="D65" t="str">
        <f t="shared" si="1"/>
        <v>〇カスギ ヒ〇ヨ</v>
      </c>
      <c r="E65" s="7">
        <v>26906</v>
      </c>
      <c r="F65" t="s">
        <v>98</v>
      </c>
      <c r="G65">
        <v>5691029</v>
      </c>
      <c r="H65" t="s">
        <v>713</v>
      </c>
      <c r="I65" t="s">
        <v>38</v>
      </c>
      <c r="J65" t="s">
        <v>851</v>
      </c>
      <c r="K65" t="str">
        <f t="shared" si="3"/>
        <v>〇岡〇町</v>
      </c>
      <c r="M65" t="str">
        <f t="shared" si="4"/>
        <v/>
      </c>
      <c r="N65" t="s">
        <v>852</v>
      </c>
      <c r="O65" t="str">
        <f t="shared" si="6"/>
        <v>070-008-1900</v>
      </c>
      <c r="P65" t="s">
        <v>853</v>
      </c>
      <c r="Q65" t="str">
        <f t="shared" si="5"/>
        <v>040-8061-0403</v>
      </c>
      <c r="R65" t="s">
        <v>723</v>
      </c>
      <c r="S65" t="s">
        <v>718</v>
      </c>
      <c r="AE65" t="s">
        <v>719</v>
      </c>
      <c r="AH65" t="s">
        <v>854</v>
      </c>
    </row>
    <row r="66" spans="1:34">
      <c r="A66" t="s">
        <v>275</v>
      </c>
      <c r="B66" t="str">
        <f t="shared" ref="B66:B114" si="7">SUBSTITUTE(REPLACE(A66,1,1,"〇"),MID(A66,LEN(A66)-1,1),"〇")</f>
        <v>〇西〇恵</v>
      </c>
      <c r="C66" t="s">
        <v>276</v>
      </c>
      <c r="D66" t="str">
        <f t="shared" ref="D66:D114" si="8">SUBSTITUTE(REPLACE(C66,1,1,"〇"),MID(C66,LEN(C66)-1,1),"〇")</f>
        <v>〇カニシ メ〇ミ</v>
      </c>
      <c r="E66" s="7">
        <v>29203</v>
      </c>
      <c r="F66" t="s">
        <v>98</v>
      </c>
      <c r="G66">
        <v>5690055</v>
      </c>
      <c r="H66" t="s">
        <v>713</v>
      </c>
      <c r="I66" t="s">
        <v>38</v>
      </c>
      <c r="J66" t="s">
        <v>855</v>
      </c>
      <c r="K66" t="str">
        <f t="shared" si="3"/>
        <v>〇冠〇丁</v>
      </c>
      <c r="M66" t="str">
        <f t="shared" si="4"/>
        <v/>
      </c>
      <c r="O66" t="str">
        <f t="shared" si="6"/>
        <v/>
      </c>
      <c r="P66">
        <v>9069804459</v>
      </c>
      <c r="Q66" t="str">
        <f t="shared" si="5"/>
        <v>9469804409</v>
      </c>
      <c r="R66" t="s">
        <v>717</v>
      </c>
      <c r="S66" t="s">
        <v>718</v>
      </c>
      <c r="AE66" t="s">
        <v>719</v>
      </c>
      <c r="AH66" t="s">
        <v>508</v>
      </c>
    </row>
    <row r="67" spans="1:34">
      <c r="A67" t="s">
        <v>190</v>
      </c>
      <c r="B67" t="str">
        <f t="shared" si="7"/>
        <v>〇原 〇子</v>
      </c>
      <c r="C67" t="s">
        <v>191</v>
      </c>
      <c r="D67" t="str">
        <f t="shared" si="8"/>
        <v>〇カハラ エ〇コ</v>
      </c>
      <c r="E67" s="7">
        <v>26581</v>
      </c>
      <c r="F67" t="s">
        <v>98</v>
      </c>
      <c r="G67">
        <v>5690825</v>
      </c>
      <c r="H67" t="s">
        <v>713</v>
      </c>
      <c r="I67" t="s">
        <v>38</v>
      </c>
      <c r="J67" t="s">
        <v>856</v>
      </c>
      <c r="K67" t="str">
        <f t="shared" ref="K67:K114" si="9">LEFT(SUBSTITUTE(REPLACE(J67,1,1,"〇"),MID(J67,3,1),"〇"),4)</f>
        <v>〇町〇丁</v>
      </c>
      <c r="M67" t="str">
        <f t="shared" ref="M67:M114" si="10">IF(L67&lt;&gt;"",LEFT(SUBSTITUTE(REPLACE(L67,1,1,"〇"),MID(L67,3,1),"〇"),4),"")</f>
        <v/>
      </c>
      <c r="N67" t="s">
        <v>532</v>
      </c>
      <c r="O67" t="str">
        <f t="shared" si="6"/>
        <v>070-696-6301</v>
      </c>
      <c r="P67" t="s">
        <v>857</v>
      </c>
      <c r="Q67" t="str">
        <f t="shared" ref="Q67:Q114" si="11">IF(P67&lt;&gt;"",SUBSTITUTE(REPLACE(P67,2,1,"4"),MID(P67,LEN(P67)-1,1),"0"),"")</f>
        <v>040-1904-7904</v>
      </c>
      <c r="R67" t="s">
        <v>717</v>
      </c>
      <c r="S67" t="s">
        <v>718</v>
      </c>
      <c r="AE67" t="s">
        <v>719</v>
      </c>
      <c r="AH67" t="s">
        <v>508</v>
      </c>
    </row>
    <row r="68" spans="1:34">
      <c r="A68" t="s">
        <v>417</v>
      </c>
      <c r="B68" t="str">
        <f t="shared" si="7"/>
        <v>〇村 〇子</v>
      </c>
      <c r="C68" t="s">
        <v>418</v>
      </c>
      <c r="D68" t="str">
        <f t="shared" si="8"/>
        <v>〇カムラ ノ〇コ</v>
      </c>
      <c r="E68" s="7">
        <v>28393</v>
      </c>
      <c r="F68" t="s">
        <v>98</v>
      </c>
      <c r="G68">
        <v>5691021</v>
      </c>
      <c r="H68" t="s">
        <v>713</v>
      </c>
      <c r="I68" t="s">
        <v>38</v>
      </c>
      <c r="J68" t="s">
        <v>858</v>
      </c>
      <c r="K68" t="str">
        <f t="shared" si="9"/>
        <v>〇生〇丘</v>
      </c>
      <c r="M68" t="str">
        <f t="shared" si="10"/>
        <v/>
      </c>
      <c r="N68" t="s">
        <v>534</v>
      </c>
      <c r="O68" t="str">
        <f t="shared" si="6"/>
        <v>070-6283-305</v>
      </c>
      <c r="P68" t="s">
        <v>859</v>
      </c>
      <c r="Q68" t="str">
        <f t="shared" si="11"/>
        <v>040-8889-0905</v>
      </c>
      <c r="R68" t="s">
        <v>717</v>
      </c>
      <c r="S68" t="s">
        <v>718</v>
      </c>
      <c r="AE68" t="s">
        <v>719</v>
      </c>
      <c r="AH68" t="s">
        <v>508</v>
      </c>
    </row>
    <row r="69" spans="1:34">
      <c r="A69" t="s">
        <v>279</v>
      </c>
      <c r="B69" t="str">
        <f t="shared" si="7"/>
        <v>〇村 〇里</v>
      </c>
      <c r="C69" t="s">
        <v>280</v>
      </c>
      <c r="D69" t="str">
        <f t="shared" si="8"/>
        <v>〇カムラ 〇リ</v>
      </c>
      <c r="E69" s="7">
        <v>31641</v>
      </c>
      <c r="F69" t="s">
        <v>98</v>
      </c>
      <c r="G69">
        <v>5690041</v>
      </c>
      <c r="H69" t="s">
        <v>713</v>
      </c>
      <c r="I69" t="s">
        <v>38</v>
      </c>
      <c r="J69" t="s">
        <v>860</v>
      </c>
      <c r="K69" t="str">
        <f t="shared" si="9"/>
        <v>〇大〇町</v>
      </c>
      <c r="M69" t="str">
        <f t="shared" si="10"/>
        <v/>
      </c>
      <c r="N69" t="s">
        <v>536</v>
      </c>
      <c r="O69" t="str">
        <f t="shared" si="6"/>
        <v>080-0463-0807</v>
      </c>
      <c r="Q69" t="str">
        <f t="shared" si="11"/>
        <v/>
      </c>
      <c r="R69" t="s">
        <v>717</v>
      </c>
      <c r="S69" t="s">
        <v>718</v>
      </c>
      <c r="AE69" t="s">
        <v>719</v>
      </c>
      <c r="AH69" t="s">
        <v>508</v>
      </c>
    </row>
    <row r="70" spans="1:34">
      <c r="A70" t="s">
        <v>35</v>
      </c>
      <c r="B70" t="str">
        <f t="shared" si="7"/>
        <v>〇川 〇子</v>
      </c>
      <c r="C70" t="s">
        <v>36</v>
      </c>
      <c r="D70" t="str">
        <f t="shared" si="8"/>
        <v>〇シカワ ナ〇コ</v>
      </c>
      <c r="E70" s="7">
        <v>31752</v>
      </c>
      <c r="F70" t="s">
        <v>98</v>
      </c>
      <c r="G70">
        <v>5690055</v>
      </c>
      <c r="H70" t="s">
        <v>713</v>
      </c>
      <c r="I70" t="s">
        <v>38</v>
      </c>
      <c r="J70" t="s">
        <v>861</v>
      </c>
      <c r="K70" t="str">
        <f t="shared" si="9"/>
        <v>〇冠〇丁</v>
      </c>
      <c r="M70" t="str">
        <f t="shared" si="10"/>
        <v/>
      </c>
      <c r="N70" t="s">
        <v>862</v>
      </c>
      <c r="O70" t="str">
        <f t="shared" si="6"/>
        <v>000-2106-6604</v>
      </c>
      <c r="Q70" t="str">
        <f t="shared" si="11"/>
        <v/>
      </c>
      <c r="R70" t="s">
        <v>723</v>
      </c>
      <c r="S70" t="s">
        <v>718</v>
      </c>
      <c r="AE70" t="s">
        <v>719</v>
      </c>
      <c r="AH70" t="s">
        <v>766</v>
      </c>
    </row>
    <row r="71" spans="1:34">
      <c r="A71" t="s">
        <v>471</v>
      </c>
      <c r="B71" t="str">
        <f t="shared" si="7"/>
        <v>〇田 〇佳</v>
      </c>
      <c r="C71" t="s">
        <v>472</v>
      </c>
      <c r="D71" t="str">
        <f t="shared" si="8"/>
        <v>〇シダ 〇カ</v>
      </c>
      <c r="E71" s="7">
        <v>30737</v>
      </c>
      <c r="F71" t="s">
        <v>98</v>
      </c>
      <c r="G71">
        <v>5690061</v>
      </c>
      <c r="H71" t="s">
        <v>713</v>
      </c>
      <c r="I71" t="s">
        <v>38</v>
      </c>
      <c r="J71" t="s">
        <v>863</v>
      </c>
      <c r="K71" t="str">
        <f t="shared" si="9"/>
        <v>〇西〇6</v>
      </c>
      <c r="M71" t="str">
        <f t="shared" si="10"/>
        <v/>
      </c>
      <c r="O71" t="str">
        <f t="shared" si="6"/>
        <v/>
      </c>
      <c r="P71">
        <v>9066690946</v>
      </c>
      <c r="Q71" t="str">
        <f t="shared" si="11"/>
        <v>9066690906</v>
      </c>
      <c r="R71" t="s">
        <v>717</v>
      </c>
      <c r="S71" t="s">
        <v>718</v>
      </c>
      <c r="AE71" t="s">
        <v>719</v>
      </c>
      <c r="AH71" t="s">
        <v>508</v>
      </c>
    </row>
    <row r="72" spans="1:34">
      <c r="A72" t="s">
        <v>151</v>
      </c>
      <c r="B72" t="str">
        <f t="shared" si="7"/>
        <v>〇﨑〇賜</v>
      </c>
      <c r="C72" t="s">
        <v>152</v>
      </c>
      <c r="D72" t="str">
        <f t="shared" si="8"/>
        <v>〇ザキ メ〇ム</v>
      </c>
      <c r="E72" s="7">
        <v>30187</v>
      </c>
      <c r="F72" t="s">
        <v>98</v>
      </c>
      <c r="G72">
        <v>5690043</v>
      </c>
      <c r="H72" t="s">
        <v>713</v>
      </c>
      <c r="I72" t="s">
        <v>38</v>
      </c>
      <c r="J72" t="s">
        <v>864</v>
      </c>
      <c r="K72" t="str">
        <f t="shared" si="9"/>
        <v>〇の〇町</v>
      </c>
      <c r="M72" t="str">
        <f t="shared" si="10"/>
        <v/>
      </c>
      <c r="O72" t="str">
        <f t="shared" si="6"/>
        <v/>
      </c>
      <c r="P72" t="s">
        <v>865</v>
      </c>
      <c r="Q72" t="str">
        <f t="shared" si="11"/>
        <v>040-3039-1207</v>
      </c>
      <c r="R72" t="s">
        <v>717</v>
      </c>
      <c r="S72" t="s">
        <v>718</v>
      </c>
      <c r="AE72" t="s">
        <v>719</v>
      </c>
      <c r="AH72" t="s">
        <v>854</v>
      </c>
    </row>
    <row r="73" spans="1:34">
      <c r="A73" t="s">
        <v>455</v>
      </c>
      <c r="B73" t="str">
        <f t="shared" si="7"/>
        <v>〇部〇愛</v>
      </c>
      <c r="C73" t="s">
        <v>456</v>
      </c>
      <c r="D73" t="str">
        <f t="shared" si="8"/>
        <v>〇ットリ 〇イ</v>
      </c>
      <c r="E73" s="7">
        <v>26940</v>
      </c>
      <c r="F73" t="s">
        <v>98</v>
      </c>
      <c r="G73">
        <v>5690046</v>
      </c>
      <c r="H73" t="s">
        <v>713</v>
      </c>
      <c r="I73" t="s">
        <v>38</v>
      </c>
      <c r="J73" t="s">
        <v>866</v>
      </c>
      <c r="K73" t="str">
        <f t="shared" si="9"/>
        <v>〇町〇-</v>
      </c>
      <c r="M73" t="str">
        <f t="shared" si="10"/>
        <v/>
      </c>
      <c r="N73" t="s">
        <v>540</v>
      </c>
      <c r="O73" t="str">
        <f t="shared" ref="O73:O114" si="12">IF(N73&lt;&gt;"",SUBSTITUTE(REPLACE(N73,3,1,"0"),MID(N73,LEN(N73)-1,1),"0"),"")</f>
        <v>070-675-1704</v>
      </c>
      <c r="P73" t="s">
        <v>867</v>
      </c>
      <c r="Q73" t="str">
        <f t="shared" si="11"/>
        <v>040-1022-6600</v>
      </c>
      <c r="R73" t="s">
        <v>717</v>
      </c>
      <c r="S73" t="s">
        <v>718</v>
      </c>
      <c r="AE73" t="s">
        <v>719</v>
      </c>
      <c r="AH73" t="s">
        <v>508</v>
      </c>
    </row>
    <row r="74" spans="1:34">
      <c r="A74" t="s">
        <v>240</v>
      </c>
      <c r="B74" t="str">
        <f t="shared" si="7"/>
        <v>〇田 〇み</v>
      </c>
      <c r="C74" t="s">
        <v>241</v>
      </c>
      <c r="D74" t="str">
        <f t="shared" si="8"/>
        <v>〇マダ 〇ミ</v>
      </c>
      <c r="E74" s="7">
        <v>27968</v>
      </c>
      <c r="F74" t="s">
        <v>98</v>
      </c>
      <c r="G74">
        <v>5690806</v>
      </c>
      <c r="H74" t="s">
        <v>713</v>
      </c>
      <c r="I74" t="s">
        <v>38</v>
      </c>
      <c r="J74" t="s">
        <v>868</v>
      </c>
      <c r="K74" t="str">
        <f t="shared" si="9"/>
        <v>〇田〇3</v>
      </c>
      <c r="L74" t="s">
        <v>869</v>
      </c>
      <c r="M74" t="str">
        <f t="shared" si="10"/>
        <v>〇レ〇ガ</v>
      </c>
      <c r="O74" t="str">
        <f t="shared" si="12"/>
        <v/>
      </c>
      <c r="P74" t="s">
        <v>870</v>
      </c>
      <c r="Q74" t="str">
        <f t="shared" si="11"/>
        <v>040-4983-5501</v>
      </c>
      <c r="R74" t="s">
        <v>717</v>
      </c>
      <c r="S74" t="s">
        <v>718</v>
      </c>
      <c r="AE74" t="s">
        <v>719</v>
      </c>
      <c r="AH74" t="s">
        <v>766</v>
      </c>
    </row>
    <row r="75" spans="1:34">
      <c r="A75" t="s">
        <v>369</v>
      </c>
      <c r="B75" t="str">
        <f t="shared" si="7"/>
        <v>〇 〇子</v>
      </c>
      <c r="C75" t="s">
        <v>370</v>
      </c>
      <c r="D75" t="str">
        <f t="shared" si="8"/>
        <v>〇ヤシ ジユ〇コ</v>
      </c>
      <c r="E75" s="7">
        <v>27046</v>
      </c>
      <c r="F75" t="s">
        <v>98</v>
      </c>
      <c r="G75">
        <v>5690805</v>
      </c>
      <c r="H75" t="s">
        <v>713</v>
      </c>
      <c r="I75" t="s">
        <v>38</v>
      </c>
      <c r="J75" t="s">
        <v>871</v>
      </c>
      <c r="K75" t="str">
        <f t="shared" si="9"/>
        <v>〇田〇町</v>
      </c>
      <c r="M75" t="str">
        <f t="shared" si="10"/>
        <v/>
      </c>
      <c r="N75" t="s">
        <v>542</v>
      </c>
      <c r="O75" t="str">
        <f t="shared" si="12"/>
        <v>070-600-1802</v>
      </c>
      <c r="P75" t="s">
        <v>872</v>
      </c>
      <c r="Q75" t="str">
        <f t="shared" si="11"/>
        <v>040-3609-0008</v>
      </c>
      <c r="R75" t="s">
        <v>717</v>
      </c>
      <c r="S75" t="s">
        <v>718</v>
      </c>
      <c r="AE75" t="s">
        <v>719</v>
      </c>
      <c r="AH75" t="s">
        <v>508</v>
      </c>
    </row>
    <row r="76" spans="1:34">
      <c r="A76" t="s">
        <v>311</v>
      </c>
      <c r="B76" t="str">
        <f t="shared" si="7"/>
        <v>〇木 早〇合</v>
      </c>
      <c r="C76" t="s">
        <v>312</v>
      </c>
      <c r="D76" t="str">
        <f t="shared" si="8"/>
        <v>〇ルキ サ〇リ</v>
      </c>
      <c r="E76" s="7">
        <v>29899</v>
      </c>
      <c r="F76" t="s">
        <v>98</v>
      </c>
      <c r="G76">
        <v>5690041</v>
      </c>
      <c r="H76" t="s">
        <v>713</v>
      </c>
      <c r="I76" t="s">
        <v>38</v>
      </c>
      <c r="J76" t="s">
        <v>873</v>
      </c>
      <c r="K76" t="str">
        <f t="shared" si="9"/>
        <v>〇大〇町</v>
      </c>
      <c r="M76" t="str">
        <f t="shared" si="10"/>
        <v/>
      </c>
      <c r="N76" t="s">
        <v>544</v>
      </c>
      <c r="O76" t="str">
        <f t="shared" si="12"/>
        <v>070-628-8109</v>
      </c>
      <c r="P76" t="s">
        <v>874</v>
      </c>
      <c r="Q76" t="str">
        <f t="shared" si="11"/>
        <v>040-0909-5407</v>
      </c>
      <c r="R76" t="s">
        <v>717</v>
      </c>
      <c r="S76" t="s">
        <v>718</v>
      </c>
      <c r="AE76" t="s">
        <v>719</v>
      </c>
      <c r="AH76" t="s">
        <v>508</v>
      </c>
    </row>
    <row r="77" spans="1:34">
      <c r="A77" t="s">
        <v>112</v>
      </c>
      <c r="B77" t="str">
        <f t="shared" si="7"/>
        <v>〇口 〇美</v>
      </c>
      <c r="C77" t="s">
        <v>113</v>
      </c>
      <c r="D77" t="str">
        <f t="shared" si="8"/>
        <v>〇グチ ヒ〇ミ</v>
      </c>
      <c r="E77" s="7">
        <v>27386</v>
      </c>
      <c r="F77" t="s">
        <v>98</v>
      </c>
      <c r="G77">
        <v>5691121</v>
      </c>
      <c r="H77" t="s">
        <v>713</v>
      </c>
      <c r="I77" t="s">
        <v>38</v>
      </c>
      <c r="J77" t="s">
        <v>875</v>
      </c>
      <c r="K77" t="str">
        <f t="shared" si="9"/>
        <v>〇上〇１</v>
      </c>
      <c r="M77" t="str">
        <f t="shared" si="10"/>
        <v/>
      </c>
      <c r="N77" t="s">
        <v>546</v>
      </c>
      <c r="O77" t="str">
        <f t="shared" si="12"/>
        <v>070-008-7005</v>
      </c>
      <c r="P77" t="s">
        <v>876</v>
      </c>
      <c r="Q77" t="str">
        <f t="shared" si="11"/>
        <v>000-7097-2909</v>
      </c>
      <c r="R77" t="s">
        <v>717</v>
      </c>
      <c r="S77" t="s">
        <v>718</v>
      </c>
      <c r="AE77" t="s">
        <v>719</v>
      </c>
      <c r="AH77" t="s">
        <v>508</v>
      </c>
    </row>
    <row r="78" spans="1:34">
      <c r="A78" t="s">
        <v>194</v>
      </c>
      <c r="B78" t="str">
        <f t="shared" si="7"/>
        <v>〇井 〇世</v>
      </c>
      <c r="C78" t="s">
        <v>195</v>
      </c>
      <c r="D78" t="str">
        <f t="shared" si="8"/>
        <v>〇ジイ ト〇ヨ</v>
      </c>
      <c r="E78" s="7">
        <v>32055</v>
      </c>
      <c r="F78" t="s">
        <v>98</v>
      </c>
      <c r="G78">
        <v>5690055</v>
      </c>
      <c r="H78" t="s">
        <v>713</v>
      </c>
      <c r="I78" t="s">
        <v>38</v>
      </c>
      <c r="J78" t="s">
        <v>877</v>
      </c>
      <c r="K78" t="str">
        <f t="shared" si="9"/>
        <v>〇冠〇丁</v>
      </c>
      <c r="M78" t="str">
        <f t="shared" si="10"/>
        <v/>
      </c>
      <c r="N78" t="s">
        <v>548</v>
      </c>
      <c r="O78" t="str">
        <f t="shared" si="12"/>
        <v>070-671-0903</v>
      </c>
      <c r="P78" t="s">
        <v>878</v>
      </c>
      <c r="Q78" t="str">
        <f t="shared" si="11"/>
        <v>040-5333-2305</v>
      </c>
      <c r="R78" t="s">
        <v>717</v>
      </c>
      <c r="S78" t="s">
        <v>718</v>
      </c>
      <c r="AE78" t="s">
        <v>719</v>
      </c>
      <c r="AH78" t="s">
        <v>508</v>
      </c>
    </row>
    <row r="79" spans="1:34">
      <c r="A79" t="s">
        <v>194</v>
      </c>
      <c r="B79" t="str">
        <f t="shared" si="7"/>
        <v>〇井 〇世</v>
      </c>
      <c r="C79" t="s">
        <v>195</v>
      </c>
      <c r="D79" t="str">
        <f t="shared" si="8"/>
        <v>〇ジイ ト〇ヨ</v>
      </c>
      <c r="E79" s="7">
        <v>32055</v>
      </c>
      <c r="F79" t="s">
        <v>98</v>
      </c>
      <c r="G79">
        <v>5690055</v>
      </c>
      <c r="H79" t="s">
        <v>713</v>
      </c>
      <c r="I79" t="s">
        <v>38</v>
      </c>
      <c r="J79" t="s">
        <v>877</v>
      </c>
      <c r="K79" t="str">
        <f t="shared" si="9"/>
        <v>〇冠〇丁</v>
      </c>
      <c r="M79" t="str">
        <f t="shared" si="10"/>
        <v/>
      </c>
      <c r="N79" t="s">
        <v>548</v>
      </c>
      <c r="O79" t="str">
        <f t="shared" si="12"/>
        <v>070-671-0903</v>
      </c>
      <c r="P79" t="s">
        <v>878</v>
      </c>
      <c r="Q79" t="str">
        <f t="shared" si="11"/>
        <v>040-5333-2305</v>
      </c>
      <c r="R79" t="s">
        <v>717</v>
      </c>
      <c r="S79" t="s">
        <v>718</v>
      </c>
      <c r="AE79" t="s">
        <v>719</v>
      </c>
      <c r="AH79" t="s">
        <v>508</v>
      </c>
    </row>
    <row r="80" spans="1:34">
      <c r="A80" t="s">
        <v>373</v>
      </c>
      <c r="B80" t="str">
        <f t="shared" si="7"/>
        <v>〇井 〇美</v>
      </c>
      <c r="C80" t="s">
        <v>374</v>
      </c>
      <c r="D80" t="str">
        <f t="shared" si="8"/>
        <v>〇ジイ マ〇ミ</v>
      </c>
      <c r="E80" s="7">
        <v>28374</v>
      </c>
      <c r="F80" t="s">
        <v>98</v>
      </c>
      <c r="G80">
        <v>5690077</v>
      </c>
      <c r="H80" t="s">
        <v>713</v>
      </c>
      <c r="I80" t="s">
        <v>38</v>
      </c>
      <c r="J80" t="s">
        <v>879</v>
      </c>
      <c r="K80" t="str">
        <f t="shared" si="9"/>
        <v>〇見〇2</v>
      </c>
      <c r="L80" t="s">
        <v>880</v>
      </c>
      <c r="M80" t="str">
        <f t="shared" si="10"/>
        <v>〇0〇号</v>
      </c>
      <c r="O80" t="str">
        <f t="shared" si="12"/>
        <v/>
      </c>
      <c r="P80">
        <v>9017134123</v>
      </c>
      <c r="Q80" t="str">
        <f t="shared" si="11"/>
        <v>9417134103</v>
      </c>
      <c r="R80" t="s">
        <v>717</v>
      </c>
      <c r="S80" t="s">
        <v>718</v>
      </c>
      <c r="AE80" t="s">
        <v>719</v>
      </c>
      <c r="AH80" t="s">
        <v>854</v>
      </c>
    </row>
    <row r="81" spans="1:34">
      <c r="A81" t="s">
        <v>475</v>
      </c>
      <c r="B81" t="str">
        <f t="shared" si="7"/>
        <v>〇本〇恵</v>
      </c>
      <c r="C81" t="s">
        <v>476</v>
      </c>
      <c r="D81" t="str">
        <f t="shared" si="8"/>
        <v>〇ジモト メ〇ミ</v>
      </c>
      <c r="E81" s="7">
        <v>28675</v>
      </c>
      <c r="F81" t="s">
        <v>98</v>
      </c>
      <c r="G81">
        <v>5690032</v>
      </c>
      <c r="H81" t="s">
        <v>713</v>
      </c>
      <c r="I81" t="s">
        <v>38</v>
      </c>
      <c r="J81" t="s">
        <v>881</v>
      </c>
      <c r="K81" t="str">
        <f t="shared" si="9"/>
        <v>〇和〇5</v>
      </c>
      <c r="M81" t="str">
        <f t="shared" si="10"/>
        <v/>
      </c>
      <c r="O81" t="str">
        <f t="shared" si="12"/>
        <v/>
      </c>
      <c r="P81" t="s">
        <v>882</v>
      </c>
      <c r="Q81" t="str">
        <f t="shared" si="11"/>
        <v>000-7112-8000</v>
      </c>
      <c r="R81" t="s">
        <v>717</v>
      </c>
      <c r="S81" t="s">
        <v>718</v>
      </c>
      <c r="AE81" t="s">
        <v>719</v>
      </c>
      <c r="AH81" t="s">
        <v>508</v>
      </c>
    </row>
    <row r="82" spans="1:34">
      <c r="A82" t="s">
        <v>124</v>
      </c>
      <c r="B82" t="str">
        <f t="shared" si="7"/>
        <v>〇本 〇太</v>
      </c>
      <c r="C82" t="s">
        <v>125</v>
      </c>
      <c r="D82" t="str">
        <f t="shared" si="8"/>
        <v>〇ジモト ユ〇タ</v>
      </c>
      <c r="E82" s="7">
        <v>32105</v>
      </c>
      <c r="F82" t="s">
        <v>41</v>
      </c>
      <c r="G82">
        <v>5670036</v>
      </c>
      <c r="H82" t="s">
        <v>713</v>
      </c>
      <c r="I82" t="s">
        <v>126</v>
      </c>
      <c r="J82" t="s">
        <v>883</v>
      </c>
      <c r="K82" t="str">
        <f t="shared" si="9"/>
        <v>〇穂〇2</v>
      </c>
      <c r="L82" t="s">
        <v>884</v>
      </c>
      <c r="M82" t="str">
        <f t="shared" si="10"/>
        <v>〇・〇モ</v>
      </c>
      <c r="O82" t="str">
        <f t="shared" si="12"/>
        <v/>
      </c>
      <c r="P82" t="s">
        <v>885</v>
      </c>
      <c r="Q82" t="str">
        <f t="shared" si="11"/>
        <v>040-2040-6400</v>
      </c>
      <c r="R82" t="s">
        <v>723</v>
      </c>
      <c r="S82" t="s">
        <v>718</v>
      </c>
      <c r="AE82" t="s">
        <v>719</v>
      </c>
      <c r="AH82" t="s">
        <v>508</v>
      </c>
    </row>
    <row r="83" spans="1:34">
      <c r="A83" t="s">
        <v>51</v>
      </c>
      <c r="B83" t="str">
        <f t="shared" si="7"/>
        <v>〇川 〇香</v>
      </c>
      <c r="C83" t="s">
        <v>52</v>
      </c>
      <c r="D83" t="str">
        <f t="shared" si="8"/>
        <v>〇ルカワ 〇カ</v>
      </c>
      <c r="E83" s="7">
        <v>27214</v>
      </c>
      <c r="F83" t="s">
        <v>98</v>
      </c>
      <c r="G83">
        <v>5691131</v>
      </c>
      <c r="H83" t="s">
        <v>713</v>
      </c>
      <c r="I83" t="s">
        <v>38</v>
      </c>
      <c r="J83" t="s">
        <v>886</v>
      </c>
      <c r="K83" t="str">
        <f t="shared" si="9"/>
        <v>〇家〇町</v>
      </c>
      <c r="M83" t="str">
        <f t="shared" si="10"/>
        <v/>
      </c>
      <c r="O83" t="str">
        <f t="shared" si="12"/>
        <v/>
      </c>
      <c r="P83" t="s">
        <v>887</v>
      </c>
      <c r="Q83" t="str">
        <f t="shared" si="11"/>
        <v>040-4398-6003</v>
      </c>
      <c r="R83" t="s">
        <v>723</v>
      </c>
      <c r="S83" t="s">
        <v>718</v>
      </c>
      <c r="AE83" t="s">
        <v>719</v>
      </c>
      <c r="AH83" t="s">
        <v>854</v>
      </c>
    </row>
    <row r="84" spans="1:34">
      <c r="A84" t="s">
        <v>76</v>
      </c>
      <c r="B84" t="str">
        <f t="shared" si="7"/>
        <v>〇郷 〇佑</v>
      </c>
      <c r="C84" t="s">
        <v>77</v>
      </c>
      <c r="D84" t="str">
        <f t="shared" si="8"/>
        <v>〇ンゴウ マ〇ウ</v>
      </c>
      <c r="E84" s="7">
        <v>30829</v>
      </c>
      <c r="F84" t="s">
        <v>98</v>
      </c>
      <c r="G84">
        <v>5690855</v>
      </c>
      <c r="H84" t="s">
        <v>713</v>
      </c>
      <c r="I84" t="s">
        <v>38</v>
      </c>
      <c r="J84" t="s">
        <v>888</v>
      </c>
      <c r="K84" t="str">
        <f t="shared" si="9"/>
        <v>〇田〇6</v>
      </c>
      <c r="M84" t="str">
        <f t="shared" si="10"/>
        <v/>
      </c>
      <c r="O84" t="str">
        <f t="shared" si="12"/>
        <v/>
      </c>
      <c r="P84" t="s">
        <v>889</v>
      </c>
      <c r="Q84" t="str">
        <f t="shared" si="11"/>
        <v>040-3851-4302</v>
      </c>
      <c r="R84" t="s">
        <v>723</v>
      </c>
      <c r="S84" t="s">
        <v>718</v>
      </c>
      <c r="AE84" t="s">
        <v>719</v>
      </c>
      <c r="AH84" t="s">
        <v>508</v>
      </c>
    </row>
    <row r="85" spans="1:34">
      <c r="A85" t="s">
        <v>76</v>
      </c>
      <c r="B85" t="str">
        <f t="shared" si="7"/>
        <v>〇郷 〇佑</v>
      </c>
      <c r="C85" t="s">
        <v>77</v>
      </c>
      <c r="D85" t="str">
        <f t="shared" si="8"/>
        <v>〇ンゴウ マ〇ウ</v>
      </c>
      <c r="E85" s="7">
        <v>30829</v>
      </c>
      <c r="F85" t="s">
        <v>98</v>
      </c>
      <c r="G85">
        <v>5690805</v>
      </c>
      <c r="H85" t="s">
        <v>713</v>
      </c>
      <c r="I85" t="s">
        <v>38</v>
      </c>
      <c r="J85" t="s">
        <v>888</v>
      </c>
      <c r="K85" t="str">
        <f t="shared" si="9"/>
        <v>〇田〇6</v>
      </c>
      <c r="M85" t="str">
        <f t="shared" si="10"/>
        <v/>
      </c>
      <c r="O85" t="str">
        <f t="shared" si="12"/>
        <v/>
      </c>
      <c r="P85" t="s">
        <v>889</v>
      </c>
      <c r="Q85" t="str">
        <f t="shared" si="11"/>
        <v>040-3851-4302</v>
      </c>
      <c r="R85" t="s">
        <v>723</v>
      </c>
      <c r="S85" t="s">
        <v>718</v>
      </c>
      <c r="AE85" t="s">
        <v>719</v>
      </c>
      <c r="AH85" t="s">
        <v>508</v>
      </c>
    </row>
    <row r="86" spans="1:34">
      <c r="A86" t="s">
        <v>81</v>
      </c>
      <c r="B86" t="str">
        <f t="shared" si="7"/>
        <v>〇尾 〇宏</v>
      </c>
      <c r="C86" t="s">
        <v>82</v>
      </c>
      <c r="D86" t="str">
        <f t="shared" si="8"/>
        <v>〇スオ トモ〇ロ</v>
      </c>
      <c r="E86" s="7">
        <v>27936</v>
      </c>
      <c r="F86" t="s">
        <v>41</v>
      </c>
      <c r="G86">
        <v>5690022</v>
      </c>
      <c r="H86" t="s">
        <v>713</v>
      </c>
      <c r="I86" t="s">
        <v>38</v>
      </c>
      <c r="J86" t="s">
        <v>890</v>
      </c>
      <c r="K86" t="str">
        <f t="shared" si="9"/>
        <v>〇賀〇5</v>
      </c>
      <c r="M86" t="str">
        <f t="shared" si="10"/>
        <v/>
      </c>
      <c r="N86" t="s">
        <v>558</v>
      </c>
      <c r="O86" t="str">
        <f t="shared" si="12"/>
        <v>000-661-0100</v>
      </c>
      <c r="P86" t="s">
        <v>891</v>
      </c>
      <c r="Q86" t="str">
        <f t="shared" si="11"/>
        <v>000-0015-2001</v>
      </c>
      <c r="R86" t="s">
        <v>717</v>
      </c>
      <c r="S86" t="s">
        <v>718</v>
      </c>
      <c r="AE86" t="s">
        <v>719</v>
      </c>
      <c r="AH86" t="s">
        <v>508</v>
      </c>
    </row>
    <row r="87" spans="1:34">
      <c r="A87" t="s">
        <v>319</v>
      </c>
      <c r="B87" t="str">
        <f t="shared" si="7"/>
        <v>〇井 〇子</v>
      </c>
      <c r="C87" t="s">
        <v>320</v>
      </c>
      <c r="D87" t="str">
        <f t="shared" si="8"/>
        <v>〇ツイ ユ〇コ</v>
      </c>
      <c r="E87" s="7">
        <v>25587</v>
      </c>
      <c r="F87" t="s">
        <v>98</v>
      </c>
      <c r="G87">
        <v>5691144</v>
      </c>
      <c r="H87" t="s">
        <v>713</v>
      </c>
      <c r="I87" t="s">
        <v>38</v>
      </c>
      <c r="J87" t="s">
        <v>892</v>
      </c>
      <c r="K87" t="str">
        <f t="shared" si="9"/>
        <v>〇畑〇１</v>
      </c>
      <c r="M87" t="str">
        <f t="shared" si="10"/>
        <v/>
      </c>
      <c r="N87" t="s">
        <v>561</v>
      </c>
      <c r="O87" t="str">
        <f t="shared" si="12"/>
        <v>070-093-4102</v>
      </c>
      <c r="P87" t="s">
        <v>893</v>
      </c>
      <c r="Q87" t="str">
        <f t="shared" si="11"/>
        <v>040-1441-4708</v>
      </c>
      <c r="R87" t="s">
        <v>717</v>
      </c>
      <c r="S87" t="s">
        <v>718</v>
      </c>
      <c r="AE87" t="s">
        <v>719</v>
      </c>
      <c r="AH87" t="s">
        <v>508</v>
      </c>
    </row>
    <row r="88" spans="1:34">
      <c r="A88" t="s">
        <v>379</v>
      </c>
      <c r="B88" t="str">
        <f t="shared" si="7"/>
        <v>〇岡 紀〇子</v>
      </c>
      <c r="C88" t="s">
        <v>380</v>
      </c>
      <c r="D88" t="str">
        <f t="shared" si="8"/>
        <v>〇ツオカ キ〇コ</v>
      </c>
      <c r="E88" s="7">
        <v>29209</v>
      </c>
      <c r="F88" t="s">
        <v>98</v>
      </c>
      <c r="G88">
        <v>5690823</v>
      </c>
      <c r="H88" t="s">
        <v>713</v>
      </c>
      <c r="I88" t="s">
        <v>38</v>
      </c>
      <c r="J88" t="s">
        <v>894</v>
      </c>
      <c r="K88" t="str">
        <f t="shared" si="9"/>
        <v>〇生〇１</v>
      </c>
      <c r="M88" t="str">
        <f t="shared" si="10"/>
        <v/>
      </c>
      <c r="O88" t="str">
        <f t="shared" si="12"/>
        <v/>
      </c>
      <c r="P88" t="s">
        <v>895</v>
      </c>
      <c r="Q88" t="str">
        <f t="shared" si="11"/>
        <v>040-6965-0406</v>
      </c>
      <c r="R88" t="s">
        <v>723</v>
      </c>
      <c r="S88" t="s">
        <v>718</v>
      </c>
      <c r="AE88" t="s">
        <v>719</v>
      </c>
      <c r="AH88" t="s">
        <v>508</v>
      </c>
    </row>
    <row r="89" spans="1:34">
      <c r="A89" t="s">
        <v>86</v>
      </c>
      <c r="B89" t="str">
        <f t="shared" si="7"/>
        <v>〇田 み〇ほ</v>
      </c>
      <c r="C89" t="s">
        <v>87</v>
      </c>
      <c r="D89" t="str">
        <f t="shared" si="8"/>
        <v>〇ツダ ミ〇ホ</v>
      </c>
      <c r="E89" s="7">
        <v>29453</v>
      </c>
      <c r="F89" t="s">
        <v>98</v>
      </c>
      <c r="G89">
        <v>5690822</v>
      </c>
      <c r="H89" t="s">
        <v>713</v>
      </c>
      <c r="I89" t="s">
        <v>38</v>
      </c>
      <c r="J89" t="s">
        <v>896</v>
      </c>
      <c r="K89" t="str">
        <f t="shared" si="9"/>
        <v>〇之〇町</v>
      </c>
      <c r="M89" t="str">
        <f t="shared" si="10"/>
        <v/>
      </c>
      <c r="O89" t="str">
        <f t="shared" si="12"/>
        <v/>
      </c>
      <c r="P89" t="s">
        <v>897</v>
      </c>
      <c r="Q89" t="str">
        <f t="shared" si="11"/>
        <v>040-8249-9109</v>
      </c>
      <c r="R89" t="s">
        <v>717</v>
      </c>
      <c r="S89" t="s">
        <v>718</v>
      </c>
      <c r="AE89" t="s">
        <v>719</v>
      </c>
      <c r="AH89" t="s">
        <v>508</v>
      </c>
    </row>
    <row r="90" spans="1:34">
      <c r="A90" t="s">
        <v>200</v>
      </c>
      <c r="B90" t="str">
        <f t="shared" si="7"/>
        <v>〇村 〇代</v>
      </c>
      <c r="C90" t="s">
        <v>201</v>
      </c>
      <c r="D90" t="str">
        <f t="shared" si="8"/>
        <v>〇ツムラ タ〇ヨ</v>
      </c>
      <c r="E90" s="7">
        <v>28298</v>
      </c>
      <c r="F90" t="s">
        <v>98</v>
      </c>
      <c r="G90">
        <v>5690036</v>
      </c>
      <c r="H90" t="s">
        <v>713</v>
      </c>
      <c r="I90" t="s">
        <v>38</v>
      </c>
      <c r="J90" t="s">
        <v>898</v>
      </c>
      <c r="K90" t="str">
        <f t="shared" si="9"/>
        <v>〇子〇丁</v>
      </c>
      <c r="M90" t="str">
        <f t="shared" si="10"/>
        <v/>
      </c>
      <c r="N90" t="s">
        <v>565</v>
      </c>
      <c r="O90" t="str">
        <f t="shared" si="12"/>
        <v>070-674-0306</v>
      </c>
      <c r="P90" t="s">
        <v>899</v>
      </c>
      <c r="Q90" t="str">
        <f t="shared" si="11"/>
        <v>040-6863-3608</v>
      </c>
      <c r="R90" t="s">
        <v>717</v>
      </c>
      <c r="S90" t="s">
        <v>718</v>
      </c>
      <c r="AE90" t="s">
        <v>719</v>
      </c>
      <c r="AH90" t="s">
        <v>508</v>
      </c>
    </row>
    <row r="91" spans="1:34">
      <c r="A91" t="s">
        <v>200</v>
      </c>
      <c r="B91" t="str">
        <f t="shared" si="7"/>
        <v>〇村 〇代</v>
      </c>
      <c r="C91" t="s">
        <v>201</v>
      </c>
      <c r="D91" t="str">
        <f t="shared" si="8"/>
        <v>〇ツムラ タ〇ヨ</v>
      </c>
      <c r="E91" s="7">
        <v>28298</v>
      </c>
      <c r="F91" t="s">
        <v>98</v>
      </c>
      <c r="G91">
        <v>5690036</v>
      </c>
      <c r="H91" t="s">
        <v>713</v>
      </c>
      <c r="I91" t="s">
        <v>38</v>
      </c>
      <c r="J91" t="s">
        <v>898</v>
      </c>
      <c r="K91" t="str">
        <f t="shared" si="9"/>
        <v>〇子〇丁</v>
      </c>
      <c r="M91" t="str">
        <f t="shared" si="10"/>
        <v/>
      </c>
      <c r="N91" t="s">
        <v>565</v>
      </c>
      <c r="O91" t="str">
        <f t="shared" si="12"/>
        <v>070-674-0306</v>
      </c>
      <c r="P91" t="s">
        <v>899</v>
      </c>
      <c r="Q91" t="str">
        <f t="shared" si="11"/>
        <v>040-6863-3608</v>
      </c>
      <c r="R91" t="s">
        <v>717</v>
      </c>
      <c r="S91" t="s">
        <v>718</v>
      </c>
      <c r="AE91" t="s">
        <v>719</v>
      </c>
      <c r="AH91" t="s">
        <v>508</v>
      </c>
    </row>
    <row r="92" spans="1:34">
      <c r="A92" t="s">
        <v>204</v>
      </c>
      <c r="B92" t="str">
        <f t="shared" si="7"/>
        <v>〇本 〇美</v>
      </c>
      <c r="C92" t="s">
        <v>205</v>
      </c>
      <c r="D92" t="str">
        <f t="shared" si="8"/>
        <v>〇ツモト ト〇ミ</v>
      </c>
      <c r="E92" s="7">
        <v>26125</v>
      </c>
      <c r="F92" t="s">
        <v>98</v>
      </c>
      <c r="G92">
        <v>5690002</v>
      </c>
      <c r="H92" t="s">
        <v>713</v>
      </c>
      <c r="I92" t="s">
        <v>38</v>
      </c>
      <c r="J92" t="s">
        <v>900</v>
      </c>
      <c r="K92" t="str">
        <f t="shared" si="9"/>
        <v>〇上〇３</v>
      </c>
      <c r="M92" t="str">
        <f t="shared" si="10"/>
        <v/>
      </c>
      <c r="N92">
        <v>726699797</v>
      </c>
      <c r="O92" t="str">
        <f t="shared" si="12"/>
        <v>720600707</v>
      </c>
      <c r="P92">
        <v>9011403908</v>
      </c>
      <c r="Q92" t="str">
        <f t="shared" si="11"/>
        <v>9411403908</v>
      </c>
      <c r="R92" t="s">
        <v>717</v>
      </c>
      <c r="S92" t="s">
        <v>718</v>
      </c>
      <c r="AE92" t="s">
        <v>719</v>
      </c>
      <c r="AH92" t="s">
        <v>508</v>
      </c>
    </row>
    <row r="93" spans="1:34">
      <c r="A93" t="s">
        <v>285</v>
      </c>
      <c r="B93" t="str">
        <f t="shared" si="7"/>
        <v>〇浦 〇美</v>
      </c>
      <c r="C93" t="s">
        <v>286</v>
      </c>
      <c r="D93" t="str">
        <f t="shared" si="8"/>
        <v>〇ウラ ア〇ミ</v>
      </c>
      <c r="E93" s="7">
        <v>31571</v>
      </c>
      <c r="F93" t="s">
        <v>98</v>
      </c>
      <c r="G93">
        <v>5691042</v>
      </c>
      <c r="H93" t="s">
        <v>713</v>
      </c>
      <c r="I93" t="s">
        <v>38</v>
      </c>
      <c r="J93" t="s">
        <v>901</v>
      </c>
      <c r="K93" t="str">
        <f t="shared" si="9"/>
        <v>〇平〇1</v>
      </c>
      <c r="M93" t="str">
        <f t="shared" si="10"/>
        <v/>
      </c>
      <c r="O93" t="str">
        <f t="shared" si="12"/>
        <v/>
      </c>
      <c r="P93" t="s">
        <v>902</v>
      </c>
      <c r="Q93" t="str">
        <f t="shared" si="11"/>
        <v>040-0392-7301</v>
      </c>
      <c r="R93" t="s">
        <v>717</v>
      </c>
      <c r="S93" t="s">
        <v>718</v>
      </c>
      <c r="AE93" t="s">
        <v>719</v>
      </c>
      <c r="AH93" t="s">
        <v>508</v>
      </c>
    </row>
    <row r="94" spans="1:34">
      <c r="A94" t="s">
        <v>244</v>
      </c>
      <c r="B94" t="str">
        <f t="shared" si="7"/>
        <v>〇仲 絵〇子</v>
      </c>
      <c r="C94" t="s">
        <v>245</v>
      </c>
      <c r="D94" t="str">
        <f t="shared" si="8"/>
        <v>〇ツナカ エ〇コ</v>
      </c>
      <c r="E94" s="7">
        <v>28773</v>
      </c>
      <c r="F94" t="s">
        <v>98</v>
      </c>
      <c r="G94">
        <v>5690056</v>
      </c>
      <c r="H94" t="s">
        <v>713</v>
      </c>
      <c r="I94" t="s">
        <v>38</v>
      </c>
      <c r="J94" t="s">
        <v>903</v>
      </c>
      <c r="K94" t="str">
        <f t="shared" si="9"/>
        <v>〇南〇２</v>
      </c>
      <c r="M94" t="str">
        <f t="shared" si="10"/>
        <v/>
      </c>
      <c r="O94" t="str">
        <f t="shared" si="12"/>
        <v/>
      </c>
      <c r="P94" t="s">
        <v>904</v>
      </c>
      <c r="Q94" t="str">
        <f t="shared" si="11"/>
        <v>000-5960-2208</v>
      </c>
      <c r="R94" t="s">
        <v>717</v>
      </c>
      <c r="S94" t="s">
        <v>718</v>
      </c>
      <c r="AE94" t="s">
        <v>719</v>
      </c>
      <c r="AH94" t="s">
        <v>508</v>
      </c>
    </row>
    <row r="95" spans="1:34">
      <c r="A95" t="s">
        <v>163</v>
      </c>
      <c r="B95" t="str">
        <f t="shared" si="7"/>
        <v>〇野 〇信</v>
      </c>
      <c r="C95" t="s">
        <v>164</v>
      </c>
      <c r="D95" t="str">
        <f t="shared" si="8"/>
        <v>〇ラ〇 ヒロ〇ブ</v>
      </c>
      <c r="E95" s="7">
        <v>27272</v>
      </c>
      <c r="F95" t="s">
        <v>41</v>
      </c>
      <c r="G95">
        <v>5690032</v>
      </c>
      <c r="H95" t="s">
        <v>713</v>
      </c>
      <c r="I95" t="s">
        <v>38</v>
      </c>
      <c r="J95" t="s">
        <v>905</v>
      </c>
      <c r="K95" t="str">
        <f t="shared" si="9"/>
        <v>〇和〇３</v>
      </c>
      <c r="L95" t="s">
        <v>906</v>
      </c>
      <c r="M95" t="str">
        <f t="shared" si="10"/>
        <v>〇ー〇ル</v>
      </c>
      <c r="N95" t="s">
        <v>907</v>
      </c>
      <c r="O95" t="str">
        <f t="shared" si="12"/>
        <v>070-690-7408</v>
      </c>
      <c r="P95" t="s">
        <v>908</v>
      </c>
      <c r="Q95" t="str">
        <f t="shared" si="11"/>
        <v>040-9004-3000</v>
      </c>
      <c r="R95" t="s">
        <v>723</v>
      </c>
      <c r="S95" t="s">
        <v>718</v>
      </c>
      <c r="AE95" t="s">
        <v>719</v>
      </c>
      <c r="AH95" t="s">
        <v>854</v>
      </c>
    </row>
    <row r="96" spans="1:34">
      <c r="A96" t="s">
        <v>116</v>
      </c>
      <c r="B96" t="str">
        <f t="shared" si="7"/>
        <v>〇山 〇美</v>
      </c>
      <c r="C96" t="s">
        <v>117</v>
      </c>
      <c r="D96" t="str">
        <f t="shared" si="8"/>
        <v>〇ラヤマ ト〇ミ</v>
      </c>
      <c r="E96" s="7">
        <v>27465</v>
      </c>
      <c r="F96" t="s">
        <v>98</v>
      </c>
      <c r="G96">
        <v>5690078</v>
      </c>
      <c r="H96" t="s">
        <v>713</v>
      </c>
      <c r="I96" t="s">
        <v>38</v>
      </c>
      <c r="J96" t="s">
        <v>909</v>
      </c>
      <c r="K96" t="str">
        <f t="shared" si="9"/>
        <v>〇手〇3</v>
      </c>
      <c r="M96" t="str">
        <f t="shared" si="10"/>
        <v/>
      </c>
      <c r="N96" t="s">
        <v>572</v>
      </c>
      <c r="O96" t="str">
        <f t="shared" si="12"/>
        <v>070-647-5403</v>
      </c>
      <c r="P96" t="s">
        <v>910</v>
      </c>
      <c r="Q96" t="str">
        <f t="shared" si="11"/>
        <v>040-3926-2104</v>
      </c>
      <c r="R96" t="s">
        <v>717</v>
      </c>
      <c r="S96" t="s">
        <v>718</v>
      </c>
      <c r="AE96" t="s">
        <v>719</v>
      </c>
      <c r="AH96" t="s">
        <v>508</v>
      </c>
    </row>
    <row r="97" spans="1:34">
      <c r="A97" t="s">
        <v>116</v>
      </c>
      <c r="B97" t="str">
        <f t="shared" si="7"/>
        <v>〇山 〇美</v>
      </c>
      <c r="C97" t="s">
        <v>117</v>
      </c>
      <c r="D97" t="str">
        <f t="shared" si="8"/>
        <v>〇ラヤマ ト〇ミ</v>
      </c>
      <c r="E97" s="7">
        <v>27465</v>
      </c>
      <c r="F97" t="s">
        <v>98</v>
      </c>
      <c r="G97">
        <v>5690078</v>
      </c>
      <c r="H97" t="s">
        <v>713</v>
      </c>
      <c r="I97" t="s">
        <v>38</v>
      </c>
      <c r="J97" t="s">
        <v>909</v>
      </c>
      <c r="K97" t="str">
        <f t="shared" si="9"/>
        <v>〇手〇3</v>
      </c>
      <c r="M97" t="str">
        <f t="shared" si="10"/>
        <v/>
      </c>
      <c r="N97" t="s">
        <v>572</v>
      </c>
      <c r="O97" t="str">
        <f t="shared" si="12"/>
        <v>070-647-5403</v>
      </c>
      <c r="P97" t="s">
        <v>910</v>
      </c>
      <c r="Q97" t="str">
        <f t="shared" si="11"/>
        <v>040-3926-2104</v>
      </c>
      <c r="R97" t="s">
        <v>717</v>
      </c>
      <c r="S97" t="s">
        <v>718</v>
      </c>
      <c r="AE97" t="s">
        <v>719</v>
      </c>
      <c r="AH97" t="s">
        <v>508</v>
      </c>
    </row>
    <row r="98" spans="1:34">
      <c r="A98" t="s">
        <v>155</v>
      </c>
      <c r="B98" t="str">
        <f t="shared" si="7"/>
        <v>〇本 〇子</v>
      </c>
      <c r="C98" t="s">
        <v>156</v>
      </c>
      <c r="D98" t="str">
        <f t="shared" si="8"/>
        <v>〇リモト キョ〇コ</v>
      </c>
      <c r="E98" s="7">
        <v>30681</v>
      </c>
      <c r="F98" t="s">
        <v>98</v>
      </c>
      <c r="G98">
        <v>5690081</v>
      </c>
      <c r="H98" t="s">
        <v>713</v>
      </c>
      <c r="I98" t="s">
        <v>38</v>
      </c>
      <c r="J98" t="s">
        <v>911</v>
      </c>
      <c r="K98" t="str">
        <f t="shared" si="9"/>
        <v>〇野〇1</v>
      </c>
      <c r="M98" t="str">
        <f t="shared" si="10"/>
        <v/>
      </c>
      <c r="O98" t="str">
        <f t="shared" si="12"/>
        <v/>
      </c>
      <c r="P98" t="s">
        <v>912</v>
      </c>
      <c r="Q98" t="str">
        <f t="shared" si="11"/>
        <v>040-1491-9407</v>
      </c>
      <c r="R98" t="s">
        <v>717</v>
      </c>
      <c r="S98" t="s">
        <v>718</v>
      </c>
      <c r="AE98" t="s">
        <v>719</v>
      </c>
      <c r="AH98" t="s">
        <v>508</v>
      </c>
    </row>
    <row r="99" spans="1:34">
      <c r="A99" t="s">
        <v>155</v>
      </c>
      <c r="B99" t="str">
        <f t="shared" si="7"/>
        <v>〇本 〇子</v>
      </c>
      <c r="C99" t="s">
        <v>156</v>
      </c>
      <c r="D99" t="str">
        <f t="shared" si="8"/>
        <v>〇リモト キョ〇コ</v>
      </c>
      <c r="E99" s="7">
        <v>30681</v>
      </c>
      <c r="F99" t="s">
        <v>98</v>
      </c>
      <c r="G99">
        <v>5690081</v>
      </c>
      <c r="H99" t="s">
        <v>713</v>
      </c>
      <c r="I99" t="s">
        <v>38</v>
      </c>
      <c r="J99" t="s">
        <v>911</v>
      </c>
      <c r="K99" t="str">
        <f t="shared" si="9"/>
        <v>〇野〇1</v>
      </c>
      <c r="M99" t="str">
        <f t="shared" si="10"/>
        <v/>
      </c>
      <c r="O99" t="str">
        <f t="shared" si="12"/>
        <v/>
      </c>
      <c r="P99" t="s">
        <v>912</v>
      </c>
      <c r="Q99" t="str">
        <f t="shared" si="11"/>
        <v>040-1491-9407</v>
      </c>
      <c r="R99" t="s">
        <v>717</v>
      </c>
      <c r="S99" t="s">
        <v>718</v>
      </c>
      <c r="AE99" t="s">
        <v>719</v>
      </c>
      <c r="AH99" t="s">
        <v>508</v>
      </c>
    </row>
    <row r="100" spans="1:34">
      <c r="A100" t="s">
        <v>383</v>
      </c>
      <c r="B100" t="str">
        <f t="shared" si="7"/>
        <v>〇本 ち〇ろ</v>
      </c>
      <c r="C100" t="s">
        <v>384</v>
      </c>
      <c r="D100" t="str">
        <f t="shared" si="8"/>
        <v>〇スモト チ〇ロ</v>
      </c>
      <c r="E100" s="7">
        <v>29792</v>
      </c>
      <c r="F100" t="s">
        <v>98</v>
      </c>
      <c r="G100">
        <v>5690024</v>
      </c>
      <c r="H100" t="s">
        <v>713</v>
      </c>
      <c r="I100" t="s">
        <v>38</v>
      </c>
      <c r="J100" t="s">
        <v>913</v>
      </c>
      <c r="K100" t="str">
        <f t="shared" si="9"/>
        <v>〇向〇９</v>
      </c>
      <c r="M100" t="str">
        <f t="shared" si="10"/>
        <v/>
      </c>
      <c r="O100" t="str">
        <f t="shared" si="12"/>
        <v/>
      </c>
      <c r="P100">
        <v>9059666654</v>
      </c>
      <c r="Q100" t="str">
        <f t="shared" si="11"/>
        <v>9409666604</v>
      </c>
      <c r="R100" t="s">
        <v>717</v>
      </c>
      <c r="S100" t="s">
        <v>718</v>
      </c>
      <c r="AE100" t="s">
        <v>719</v>
      </c>
      <c r="AH100" t="s">
        <v>508</v>
      </c>
    </row>
    <row r="101" spans="1:34">
      <c r="A101" t="s">
        <v>315</v>
      </c>
      <c r="B101" t="str">
        <f t="shared" si="7"/>
        <v>〇井 〇江</v>
      </c>
      <c r="C101" t="s">
        <v>316</v>
      </c>
      <c r="D101" t="str">
        <f t="shared" si="8"/>
        <v>〇ナイ ハ〇エ</v>
      </c>
      <c r="E101" s="7">
        <v>29041</v>
      </c>
      <c r="F101" t="s">
        <v>98</v>
      </c>
      <c r="G101">
        <v>5690812</v>
      </c>
      <c r="H101" t="s">
        <v>713</v>
      </c>
      <c r="I101" t="s">
        <v>38</v>
      </c>
      <c r="J101" t="s">
        <v>914</v>
      </c>
      <c r="K101" t="str">
        <f t="shared" si="9"/>
        <v>〇美〇里</v>
      </c>
      <c r="M101" t="str">
        <f t="shared" si="10"/>
        <v/>
      </c>
      <c r="O101" t="str">
        <f t="shared" si="12"/>
        <v/>
      </c>
      <c r="P101" t="s">
        <v>915</v>
      </c>
      <c r="Q101" t="str">
        <f t="shared" si="11"/>
        <v>040-1775-2706</v>
      </c>
      <c r="R101" t="s">
        <v>717</v>
      </c>
      <c r="S101" t="s">
        <v>718</v>
      </c>
      <c r="AE101" t="s">
        <v>719</v>
      </c>
      <c r="AH101" t="s">
        <v>508</v>
      </c>
    </row>
    <row r="102" spans="1:34">
      <c r="A102" t="s">
        <v>482</v>
      </c>
      <c r="B102" t="str">
        <f t="shared" si="7"/>
        <v>〇岡 〇子</v>
      </c>
      <c r="C102" t="s">
        <v>483</v>
      </c>
      <c r="D102" t="str">
        <f t="shared" si="8"/>
        <v>〇マオカ ト〇コ</v>
      </c>
      <c r="E102" s="7">
        <v>29803</v>
      </c>
      <c r="F102" t="s">
        <v>98</v>
      </c>
      <c r="G102">
        <v>5691041</v>
      </c>
      <c r="H102" t="s">
        <v>713</v>
      </c>
      <c r="I102" t="s">
        <v>38</v>
      </c>
      <c r="J102" t="s">
        <v>916</v>
      </c>
      <c r="K102" t="str">
        <f t="shared" si="9"/>
        <v>〇佐〇１</v>
      </c>
      <c r="M102" t="str">
        <f t="shared" si="10"/>
        <v/>
      </c>
      <c r="N102" t="s">
        <v>580</v>
      </c>
      <c r="O102" t="str">
        <f t="shared" si="12"/>
        <v>080-3801-6905</v>
      </c>
      <c r="Q102" t="str">
        <f t="shared" si="11"/>
        <v/>
      </c>
      <c r="R102" t="s">
        <v>717</v>
      </c>
      <c r="S102" t="s">
        <v>718</v>
      </c>
      <c r="AE102" t="s">
        <v>719</v>
      </c>
      <c r="AH102" t="s">
        <v>508</v>
      </c>
    </row>
    <row r="103" spans="1:34">
      <c r="A103" t="s">
        <v>120</v>
      </c>
      <c r="B103" t="str">
        <f t="shared" si="7"/>
        <v>〇口 〇恵</v>
      </c>
      <c r="C103" t="s">
        <v>121</v>
      </c>
      <c r="D103" t="str">
        <f t="shared" si="8"/>
        <v>〇マクチ ヒ〇エ</v>
      </c>
      <c r="E103" s="7">
        <v>31051</v>
      </c>
      <c r="F103" t="s">
        <v>98</v>
      </c>
      <c r="G103">
        <v>5691141</v>
      </c>
      <c r="H103" t="s">
        <v>713</v>
      </c>
      <c r="I103" t="s">
        <v>38</v>
      </c>
      <c r="J103" t="s">
        <v>917</v>
      </c>
      <c r="K103" t="str">
        <f t="shared" si="9"/>
        <v>〇室〇１</v>
      </c>
      <c r="M103" t="str">
        <f t="shared" si="10"/>
        <v/>
      </c>
      <c r="O103" t="str">
        <f t="shared" si="12"/>
        <v/>
      </c>
      <c r="P103" t="s">
        <v>918</v>
      </c>
      <c r="Q103" t="str">
        <f t="shared" si="11"/>
        <v>040-4979-1700</v>
      </c>
      <c r="R103" t="s">
        <v>717</v>
      </c>
      <c r="S103" t="s">
        <v>718</v>
      </c>
      <c r="AE103" t="s">
        <v>719</v>
      </c>
      <c r="AH103" t="s">
        <v>508</v>
      </c>
    </row>
    <row r="104" spans="1:34">
      <c r="A104" t="s">
        <v>251</v>
      </c>
      <c r="B104" t="str">
        <f t="shared" si="7"/>
        <v>〇口 〇子</v>
      </c>
      <c r="C104" t="s">
        <v>252</v>
      </c>
      <c r="D104" t="str">
        <f t="shared" si="8"/>
        <v>〇マグチ ヨ〇コ</v>
      </c>
      <c r="E104" s="7">
        <v>29957</v>
      </c>
      <c r="F104" t="s">
        <v>98</v>
      </c>
      <c r="G104">
        <v>5690031</v>
      </c>
      <c r="H104" t="s">
        <v>713</v>
      </c>
      <c r="I104" t="s">
        <v>38</v>
      </c>
      <c r="J104" t="s">
        <v>919</v>
      </c>
      <c r="K104" t="str">
        <f t="shared" si="9"/>
        <v>〇冠〇３</v>
      </c>
      <c r="M104" t="str">
        <f t="shared" si="10"/>
        <v/>
      </c>
      <c r="O104" t="str">
        <f t="shared" si="12"/>
        <v/>
      </c>
      <c r="Q104" t="str">
        <f t="shared" si="11"/>
        <v/>
      </c>
      <c r="R104" t="s">
        <v>717</v>
      </c>
      <c r="S104" t="s">
        <v>718</v>
      </c>
      <c r="AE104" t="s">
        <v>719</v>
      </c>
      <c r="AH104" t="s">
        <v>508</v>
      </c>
    </row>
    <row r="105" spans="1:34">
      <c r="A105" t="s">
        <v>422</v>
      </c>
      <c r="B105" t="str">
        <f t="shared" si="7"/>
        <v>〇崎 〇二</v>
      </c>
      <c r="C105" t="s">
        <v>423</v>
      </c>
      <c r="D105" t="str">
        <f t="shared" si="8"/>
        <v>〇マサキ シュ〇ジ</v>
      </c>
      <c r="E105" s="7">
        <v>29314</v>
      </c>
      <c r="F105" t="s">
        <v>41</v>
      </c>
      <c r="G105">
        <v>5738666</v>
      </c>
      <c r="H105" t="s">
        <v>713</v>
      </c>
      <c r="I105" t="s">
        <v>405</v>
      </c>
      <c r="J105" t="s">
        <v>920</v>
      </c>
      <c r="K105" t="str">
        <f t="shared" si="9"/>
        <v>〇里〇山</v>
      </c>
      <c r="M105" t="str">
        <f t="shared" si="10"/>
        <v/>
      </c>
      <c r="O105" t="str">
        <f t="shared" si="12"/>
        <v/>
      </c>
      <c r="P105" t="s">
        <v>921</v>
      </c>
      <c r="Q105" t="str">
        <f t="shared" si="11"/>
        <v>040-0003-2403</v>
      </c>
      <c r="R105" t="s">
        <v>723</v>
      </c>
      <c r="S105" t="s">
        <v>718</v>
      </c>
      <c r="AE105" t="s">
        <v>719</v>
      </c>
      <c r="AH105" t="s">
        <v>766</v>
      </c>
    </row>
    <row r="106" spans="1:34">
      <c r="A106" t="s">
        <v>422</v>
      </c>
      <c r="B106" t="str">
        <f t="shared" si="7"/>
        <v>〇崎 〇二</v>
      </c>
      <c r="C106" t="s">
        <v>423</v>
      </c>
      <c r="D106" t="str">
        <f t="shared" si="8"/>
        <v>〇マサキ シュ〇ジ</v>
      </c>
      <c r="E106" s="7">
        <v>29314</v>
      </c>
      <c r="F106" t="s">
        <v>41</v>
      </c>
      <c r="G106">
        <v>5730087</v>
      </c>
      <c r="H106" t="s">
        <v>713</v>
      </c>
      <c r="I106" t="s">
        <v>405</v>
      </c>
      <c r="J106" t="s">
        <v>922</v>
      </c>
      <c r="K106" t="str">
        <f t="shared" si="9"/>
        <v>〇里〇山</v>
      </c>
      <c r="M106" t="str">
        <f t="shared" si="10"/>
        <v/>
      </c>
      <c r="O106" t="str">
        <f t="shared" si="12"/>
        <v/>
      </c>
      <c r="P106" t="s">
        <v>921</v>
      </c>
      <c r="Q106" t="str">
        <f t="shared" si="11"/>
        <v>040-0003-2403</v>
      </c>
      <c r="R106" t="s">
        <v>723</v>
      </c>
      <c r="S106" t="s">
        <v>718</v>
      </c>
      <c r="AE106" t="s">
        <v>719</v>
      </c>
      <c r="AH106" t="s">
        <v>766</v>
      </c>
    </row>
    <row r="107" spans="1:34">
      <c r="A107" t="s">
        <v>45</v>
      </c>
      <c r="B107" t="str">
        <f t="shared" si="7"/>
        <v>〇本 真〇史</v>
      </c>
      <c r="C107" t="s">
        <v>46</v>
      </c>
      <c r="D107" t="str">
        <f t="shared" si="8"/>
        <v>〇マモト マ〇シ</v>
      </c>
      <c r="E107" s="7">
        <v>26402</v>
      </c>
      <c r="F107" t="s">
        <v>41</v>
      </c>
      <c r="G107">
        <v>5690084</v>
      </c>
      <c r="H107" t="s">
        <v>713</v>
      </c>
      <c r="I107" t="s">
        <v>38</v>
      </c>
      <c r="J107" t="s">
        <v>923</v>
      </c>
      <c r="K107" t="str">
        <f t="shared" si="9"/>
        <v>〇良〇町</v>
      </c>
      <c r="L107" t="s">
        <v>715</v>
      </c>
      <c r="M107" t="str">
        <f t="shared" si="10"/>
        <v>〇ラ〇高</v>
      </c>
      <c r="N107" t="s">
        <v>924</v>
      </c>
      <c r="O107" t="str">
        <f t="shared" si="12"/>
        <v>000-629-8806</v>
      </c>
      <c r="P107" t="s">
        <v>925</v>
      </c>
      <c r="Q107" t="str">
        <f t="shared" si="11"/>
        <v>040-2801-8103</v>
      </c>
      <c r="R107" t="s">
        <v>723</v>
      </c>
      <c r="S107" t="s">
        <v>718</v>
      </c>
      <c r="AE107" t="s">
        <v>719</v>
      </c>
      <c r="AH107" t="s">
        <v>766</v>
      </c>
    </row>
    <row r="108" spans="1:34">
      <c r="A108" t="s">
        <v>90</v>
      </c>
      <c r="B108" t="str">
        <f t="shared" si="7"/>
        <v>〇本 木〇子</v>
      </c>
      <c r="C108" t="s">
        <v>91</v>
      </c>
      <c r="D108" t="str">
        <f t="shared" si="8"/>
        <v>〇マモト ユ〇コ</v>
      </c>
      <c r="E108" s="7">
        <v>28386</v>
      </c>
      <c r="F108" t="s">
        <v>98</v>
      </c>
      <c r="G108">
        <v>5690056</v>
      </c>
      <c r="H108" t="s">
        <v>713</v>
      </c>
      <c r="I108" t="s">
        <v>38</v>
      </c>
      <c r="J108" t="s">
        <v>926</v>
      </c>
      <c r="K108" t="str">
        <f t="shared" si="9"/>
        <v>〇南〇4</v>
      </c>
      <c r="M108" t="str">
        <f t="shared" si="10"/>
        <v/>
      </c>
      <c r="N108" t="s">
        <v>585</v>
      </c>
      <c r="O108" t="str">
        <f t="shared" si="12"/>
        <v>070-690-7209</v>
      </c>
      <c r="P108" t="s">
        <v>927</v>
      </c>
      <c r="Q108" t="str">
        <f t="shared" si="11"/>
        <v>040-0111-0700</v>
      </c>
      <c r="R108" t="s">
        <v>717</v>
      </c>
      <c r="S108" t="s">
        <v>718</v>
      </c>
      <c r="AE108" t="s">
        <v>719</v>
      </c>
      <c r="AH108" t="s">
        <v>508</v>
      </c>
    </row>
    <row r="109" spans="1:34">
      <c r="A109" t="s">
        <v>90</v>
      </c>
      <c r="B109" t="str">
        <f t="shared" si="7"/>
        <v>〇本 木〇子</v>
      </c>
      <c r="C109" t="s">
        <v>91</v>
      </c>
      <c r="D109" t="str">
        <f t="shared" si="8"/>
        <v>〇マモト ユ〇コ</v>
      </c>
      <c r="E109" s="7">
        <v>28386</v>
      </c>
      <c r="F109" t="s">
        <v>98</v>
      </c>
      <c r="G109">
        <v>5690056</v>
      </c>
      <c r="H109" t="s">
        <v>713</v>
      </c>
      <c r="I109" t="s">
        <v>38</v>
      </c>
      <c r="J109" t="s">
        <v>926</v>
      </c>
      <c r="K109" t="str">
        <f t="shared" si="9"/>
        <v>〇南〇4</v>
      </c>
      <c r="M109" t="str">
        <f t="shared" si="10"/>
        <v/>
      </c>
      <c r="N109" t="s">
        <v>585</v>
      </c>
      <c r="O109" t="str">
        <f t="shared" si="12"/>
        <v>070-690-7209</v>
      </c>
      <c r="P109" t="s">
        <v>927</v>
      </c>
      <c r="Q109" t="str">
        <f t="shared" si="11"/>
        <v>040-0111-0700</v>
      </c>
      <c r="R109" t="s">
        <v>717</v>
      </c>
      <c r="S109" t="s">
        <v>718</v>
      </c>
      <c r="AE109" t="s">
        <v>719</v>
      </c>
      <c r="AH109" t="s">
        <v>854</v>
      </c>
    </row>
    <row r="110" spans="1:34">
      <c r="A110" t="s">
        <v>210</v>
      </c>
      <c r="B110" t="str">
        <f t="shared" si="7"/>
        <v>〇田〇恵</v>
      </c>
      <c r="C110" t="s">
        <v>211</v>
      </c>
      <c r="D110" t="str">
        <f t="shared" si="8"/>
        <v>〇シダ メ〇ミ</v>
      </c>
      <c r="E110" s="7">
        <v>31446</v>
      </c>
      <c r="F110" t="s">
        <v>98</v>
      </c>
      <c r="G110">
        <v>5691031</v>
      </c>
      <c r="H110" t="s">
        <v>713</v>
      </c>
      <c r="I110" t="s">
        <v>38</v>
      </c>
      <c r="J110" t="s">
        <v>928</v>
      </c>
      <c r="K110" t="str">
        <f t="shared" si="9"/>
        <v>〇が〇2</v>
      </c>
      <c r="M110" t="str">
        <f t="shared" si="10"/>
        <v/>
      </c>
      <c r="N110" t="s">
        <v>587</v>
      </c>
      <c r="O110" t="str">
        <f t="shared" si="12"/>
        <v>070-629-1006</v>
      </c>
      <c r="P110" t="s">
        <v>929</v>
      </c>
      <c r="Q110" t="str">
        <f t="shared" si="11"/>
        <v>040-5055-9702</v>
      </c>
      <c r="R110" t="s">
        <v>717</v>
      </c>
      <c r="S110" t="s">
        <v>718</v>
      </c>
      <c r="AE110" t="s">
        <v>719</v>
      </c>
      <c r="AH110" t="s">
        <v>508</v>
      </c>
    </row>
    <row r="111" spans="1:34">
      <c r="A111" t="s">
        <v>218</v>
      </c>
      <c r="B111" t="str">
        <f t="shared" si="7"/>
        <v>〇野 ひ〇み</v>
      </c>
      <c r="C111" t="s">
        <v>219</v>
      </c>
      <c r="D111" t="str">
        <f t="shared" si="8"/>
        <v>〇シノ ヒ〇ミ</v>
      </c>
      <c r="E111" s="7">
        <v>24936</v>
      </c>
      <c r="F111" t="s">
        <v>98</v>
      </c>
      <c r="G111">
        <v>5690823</v>
      </c>
      <c r="H111" t="s">
        <v>713</v>
      </c>
      <c r="I111" t="s">
        <v>38</v>
      </c>
      <c r="J111" t="s">
        <v>930</v>
      </c>
      <c r="K111" t="str">
        <f t="shared" si="9"/>
        <v>〇生〇2</v>
      </c>
      <c r="M111" t="str">
        <f t="shared" si="10"/>
        <v/>
      </c>
      <c r="N111" t="s">
        <v>931</v>
      </c>
      <c r="O111" t="str">
        <f t="shared" si="12"/>
        <v>000-1409-0100</v>
      </c>
      <c r="P111" t="s">
        <v>932</v>
      </c>
      <c r="Q111" t="str">
        <f t="shared" si="11"/>
        <v>040-5027-0205</v>
      </c>
      <c r="R111" t="s">
        <v>723</v>
      </c>
      <c r="S111" t="s">
        <v>718</v>
      </c>
      <c r="AE111" t="s">
        <v>719</v>
      </c>
      <c r="AH111" t="s">
        <v>766</v>
      </c>
    </row>
    <row r="112" spans="1:34">
      <c r="A112" t="s">
        <v>214</v>
      </c>
      <c r="B112" t="str">
        <f t="shared" si="7"/>
        <v>〇之内 〇美</v>
      </c>
      <c r="C112" t="s">
        <v>215</v>
      </c>
      <c r="D112" t="str">
        <f t="shared" si="8"/>
        <v>〇シノウチ ユ〇ミ</v>
      </c>
      <c r="E112" s="7">
        <v>28475</v>
      </c>
      <c r="F112" t="s">
        <v>98</v>
      </c>
      <c r="G112">
        <v>5691141</v>
      </c>
      <c r="H112" t="s">
        <v>713</v>
      </c>
      <c r="I112" t="s">
        <v>38</v>
      </c>
      <c r="J112" t="s">
        <v>933</v>
      </c>
      <c r="K112" t="str">
        <f t="shared" si="9"/>
        <v>〇室〇4</v>
      </c>
      <c r="M112" t="str">
        <f t="shared" si="10"/>
        <v/>
      </c>
      <c r="O112" t="str">
        <f t="shared" si="12"/>
        <v/>
      </c>
      <c r="Q112" t="str">
        <f t="shared" si="11"/>
        <v/>
      </c>
      <c r="R112" t="s">
        <v>717</v>
      </c>
      <c r="S112" t="s">
        <v>718</v>
      </c>
      <c r="AE112" t="s">
        <v>719</v>
      </c>
      <c r="AH112" t="s">
        <v>508</v>
      </c>
    </row>
    <row r="113" spans="1:34">
      <c r="A113" t="s">
        <v>388</v>
      </c>
      <c r="B113" t="str">
        <f t="shared" si="7"/>
        <v>〇本 〇史</v>
      </c>
      <c r="C113" t="s">
        <v>389</v>
      </c>
      <c r="D113" t="str">
        <f t="shared" si="8"/>
        <v>〇キモト ヒ〇シ</v>
      </c>
      <c r="E113" s="7">
        <v>24340</v>
      </c>
      <c r="F113" t="s">
        <v>41</v>
      </c>
      <c r="G113">
        <v>5670031</v>
      </c>
      <c r="H113" t="s">
        <v>713</v>
      </c>
      <c r="I113" t="s">
        <v>126</v>
      </c>
      <c r="J113" t="s">
        <v>934</v>
      </c>
      <c r="K113" t="str">
        <f t="shared" si="9"/>
        <v>〇日〇丁</v>
      </c>
      <c r="M113" t="str">
        <f t="shared" si="10"/>
        <v/>
      </c>
      <c r="O113" t="str">
        <f t="shared" si="12"/>
        <v/>
      </c>
      <c r="P113" t="s">
        <v>935</v>
      </c>
      <c r="Q113" t="str">
        <f t="shared" si="11"/>
        <v>040-1430-2303</v>
      </c>
      <c r="R113" t="s">
        <v>723</v>
      </c>
      <c r="S113" t="s">
        <v>718</v>
      </c>
      <c r="AE113" t="s">
        <v>719</v>
      </c>
      <c r="AH113" t="s">
        <v>508</v>
      </c>
    </row>
    <row r="114" spans="1:34">
      <c r="A114" t="s">
        <v>159</v>
      </c>
      <c r="B114" t="str">
        <f t="shared" si="7"/>
        <v>〇邉 智〇子</v>
      </c>
      <c r="C114" t="s">
        <v>160</v>
      </c>
      <c r="D114" t="str">
        <f t="shared" si="8"/>
        <v>〇タナベ チ〇コ</v>
      </c>
      <c r="E114" s="7">
        <v>27740</v>
      </c>
      <c r="F114" t="s">
        <v>98</v>
      </c>
      <c r="G114">
        <v>5690826</v>
      </c>
      <c r="H114" t="s">
        <v>713</v>
      </c>
      <c r="I114" t="s">
        <v>38</v>
      </c>
      <c r="J114" t="s">
        <v>936</v>
      </c>
      <c r="K114" t="str">
        <f t="shared" si="9"/>
        <v>〇町〇丁</v>
      </c>
      <c r="M114" t="str">
        <f t="shared" si="10"/>
        <v/>
      </c>
      <c r="N114" t="s">
        <v>591</v>
      </c>
      <c r="O114" t="str">
        <f t="shared" si="12"/>
        <v>070-695-0500</v>
      </c>
      <c r="P114" t="s">
        <v>937</v>
      </c>
      <c r="Q114" t="str">
        <f t="shared" si="11"/>
        <v>040-1410-2801</v>
      </c>
      <c r="R114" t="s">
        <v>717</v>
      </c>
      <c r="S114" t="s">
        <v>718</v>
      </c>
      <c r="AE114" t="s">
        <v>719</v>
      </c>
      <c r="AH114" t="s">
        <v>508</v>
      </c>
    </row>
  </sheetData>
  <sheetProtection algorithmName="SHA-512" hashValue="W68nKWlPGLX3bc7EIJhscAYSXFTElIUCK40kLoJUb6g7zbrprubUc3IDk7/sRT1e50jCYyR0q3XEVyBxRpunAg==" saltValue="KQ6sl3uKF5EUrCmBbNHa5w==" spinCount="100000" sheet="1" objects="1" scenarios="1"/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FC89-AF5D-4E02-9D9A-965EAEE686FE}">
  <dimension ref="A1:G95"/>
  <sheetViews>
    <sheetView workbookViewId="0">
      <selection activeCell="B4" sqref="B4"/>
    </sheetView>
  </sheetViews>
  <sheetFormatPr defaultRowHeight="18.75"/>
  <cols>
    <col min="1" max="7" width="42" style="9" customWidth="1"/>
    <col min="8" max="16384" width="9" style="9"/>
  </cols>
  <sheetData>
    <row r="1" spans="1:7" ht="38.1" customHeight="1">
      <c r="A1" s="8" t="s">
        <v>938</v>
      </c>
      <c r="G1" s="10" t="s">
        <v>44</v>
      </c>
    </row>
    <row r="2" spans="1:7" ht="30" customHeight="1">
      <c r="A2" s="11" t="s">
        <v>939</v>
      </c>
      <c r="B2" s="11" t="s">
        <v>940</v>
      </c>
      <c r="C2" s="11" t="s">
        <v>941</v>
      </c>
      <c r="D2" s="11" t="s">
        <v>942</v>
      </c>
      <c r="E2" s="11" t="s">
        <v>943</v>
      </c>
      <c r="F2" s="11" t="s">
        <v>944</v>
      </c>
      <c r="G2" s="11" t="s">
        <v>945</v>
      </c>
    </row>
    <row r="3" spans="1:7" ht="30" customHeight="1">
      <c r="A3" s="12">
        <v>1</v>
      </c>
      <c r="B3" s="12">
        <v>2</v>
      </c>
      <c r="C3" s="12">
        <v>3</v>
      </c>
      <c r="D3" s="12">
        <v>4</v>
      </c>
      <c r="E3" s="12">
        <v>5</v>
      </c>
      <c r="F3" s="12">
        <v>6</v>
      </c>
      <c r="G3" s="12">
        <v>7</v>
      </c>
    </row>
    <row r="4" spans="1:7" ht="38.1" customHeight="1">
      <c r="A4" s="13"/>
      <c r="B4" s="13" t="s">
        <v>946</v>
      </c>
      <c r="C4" s="13" t="s">
        <v>947</v>
      </c>
      <c r="D4" s="13" t="s">
        <v>948</v>
      </c>
      <c r="E4" s="13" t="s">
        <v>949</v>
      </c>
      <c r="F4" s="13" t="s">
        <v>950</v>
      </c>
      <c r="G4" s="13" t="s">
        <v>951</v>
      </c>
    </row>
    <row r="5" spans="1:7" ht="38.1" customHeight="1">
      <c r="A5" s="13"/>
      <c r="B5" s="13" t="s">
        <v>952</v>
      </c>
      <c r="C5" s="13" t="s">
        <v>953</v>
      </c>
      <c r="D5" s="13" t="s">
        <v>954</v>
      </c>
      <c r="E5" s="13" t="s">
        <v>955</v>
      </c>
      <c r="F5" s="13" t="s">
        <v>956</v>
      </c>
      <c r="G5" s="13" t="s">
        <v>957</v>
      </c>
    </row>
    <row r="6" spans="1:7" ht="38.1" customHeight="1">
      <c r="A6" s="13"/>
      <c r="B6" s="13" t="s">
        <v>958</v>
      </c>
      <c r="C6" s="13" t="s">
        <v>959</v>
      </c>
      <c r="D6" s="13" t="s">
        <v>960</v>
      </c>
      <c r="E6" s="13" t="s">
        <v>961</v>
      </c>
      <c r="F6" s="13" t="s">
        <v>962</v>
      </c>
      <c r="G6" s="13" t="s">
        <v>963</v>
      </c>
    </row>
    <row r="7" spans="1:7" ht="38.1" customHeight="1">
      <c r="A7" s="13"/>
      <c r="B7" s="13" t="s">
        <v>964</v>
      </c>
      <c r="C7" s="13" t="s">
        <v>965</v>
      </c>
      <c r="D7" s="13" t="s">
        <v>966</v>
      </c>
      <c r="E7" s="13" t="s">
        <v>967</v>
      </c>
      <c r="F7" s="13" t="s">
        <v>960</v>
      </c>
      <c r="G7" s="13" t="s">
        <v>968</v>
      </c>
    </row>
    <row r="8" spans="1:7" ht="38.1" customHeight="1">
      <c r="A8" s="13"/>
      <c r="B8" s="13" t="s">
        <v>969</v>
      </c>
      <c r="C8" s="13" t="s">
        <v>970</v>
      </c>
      <c r="D8" s="13" t="s">
        <v>971</v>
      </c>
      <c r="E8" s="13" t="s">
        <v>972</v>
      </c>
      <c r="F8" s="13" t="s">
        <v>973</v>
      </c>
      <c r="G8" s="13" t="s">
        <v>974</v>
      </c>
    </row>
    <row r="9" spans="1:7" ht="38.1" customHeight="1">
      <c r="A9" s="13"/>
      <c r="B9" s="13" t="s">
        <v>975</v>
      </c>
      <c r="C9" s="13" t="s">
        <v>976</v>
      </c>
      <c r="D9" s="13" t="s">
        <v>977</v>
      </c>
      <c r="E9" s="13" t="s">
        <v>978</v>
      </c>
      <c r="F9" s="13" t="s">
        <v>979</v>
      </c>
      <c r="G9" s="13" t="s">
        <v>980</v>
      </c>
    </row>
    <row r="10" spans="1:7" ht="38.1" customHeight="1">
      <c r="A10" s="13"/>
      <c r="B10" s="13" t="s">
        <v>981</v>
      </c>
      <c r="C10" s="13" t="s">
        <v>982</v>
      </c>
      <c r="D10" s="13" t="s">
        <v>983</v>
      </c>
      <c r="E10" s="13" t="s">
        <v>984</v>
      </c>
      <c r="F10" s="13" t="s">
        <v>985</v>
      </c>
      <c r="G10" s="13" t="s">
        <v>986</v>
      </c>
    </row>
    <row r="11" spans="1:7" ht="38.1" customHeight="1">
      <c r="A11" s="13"/>
      <c r="B11" s="13" t="s">
        <v>987</v>
      </c>
      <c r="C11" s="13" t="s">
        <v>988</v>
      </c>
      <c r="D11" s="13" t="s">
        <v>989</v>
      </c>
      <c r="E11" s="13" t="s">
        <v>990</v>
      </c>
      <c r="F11" s="13" t="s">
        <v>991</v>
      </c>
      <c r="G11" s="13" t="s">
        <v>992</v>
      </c>
    </row>
    <row r="12" spans="1:7" ht="38.1" customHeight="1">
      <c r="A12" s="13"/>
      <c r="B12" s="13" t="s">
        <v>993</v>
      </c>
      <c r="C12" s="13" t="s">
        <v>994</v>
      </c>
      <c r="D12" s="13" t="s">
        <v>995</v>
      </c>
      <c r="E12" s="13" t="s">
        <v>996</v>
      </c>
      <c r="F12" s="13" t="s">
        <v>997</v>
      </c>
      <c r="G12" s="13" t="s">
        <v>998</v>
      </c>
    </row>
    <row r="13" spans="1:7" ht="38.1" customHeight="1">
      <c r="A13" s="13"/>
      <c r="B13" s="13" t="s">
        <v>999</v>
      </c>
      <c r="C13" s="13" t="s">
        <v>999</v>
      </c>
      <c r="D13" s="13" t="s">
        <v>1000</v>
      </c>
      <c r="E13" s="13" t="s">
        <v>1001</v>
      </c>
      <c r="F13" s="13" t="s">
        <v>1002</v>
      </c>
      <c r="G13" s="13" t="s">
        <v>1003</v>
      </c>
    </row>
    <row r="14" spans="1:7" ht="38.1" customHeight="1">
      <c r="A14" s="13"/>
      <c r="B14" s="13" t="s">
        <v>1004</v>
      </c>
      <c r="C14" s="13" t="s">
        <v>1005</v>
      </c>
      <c r="D14" s="13" t="s">
        <v>1006</v>
      </c>
      <c r="E14" s="13" t="s">
        <v>1007</v>
      </c>
      <c r="F14" s="13" t="s">
        <v>1008</v>
      </c>
      <c r="G14" s="13" t="s">
        <v>1009</v>
      </c>
    </row>
    <row r="15" spans="1:7" ht="38.1" customHeight="1">
      <c r="A15" s="13"/>
      <c r="B15" s="13" t="s">
        <v>1010</v>
      </c>
      <c r="C15" s="13" t="s">
        <v>1011</v>
      </c>
      <c r="D15" s="13" t="s">
        <v>1012</v>
      </c>
      <c r="E15" s="13" t="s">
        <v>1006</v>
      </c>
      <c r="F15" s="13" t="s">
        <v>1013</v>
      </c>
      <c r="G15" s="13" t="s">
        <v>1014</v>
      </c>
    </row>
    <row r="16" spans="1:7" ht="38.1" customHeight="1">
      <c r="A16" s="13"/>
      <c r="B16" s="13" t="s">
        <v>1015</v>
      </c>
      <c r="C16" s="13" t="s">
        <v>1016</v>
      </c>
      <c r="D16" s="13" t="s">
        <v>1017</v>
      </c>
      <c r="E16" s="13" t="s">
        <v>1018</v>
      </c>
      <c r="F16" s="13" t="s">
        <v>1019</v>
      </c>
      <c r="G16" s="13"/>
    </row>
    <row r="17" spans="1:7" ht="38.1" customHeight="1">
      <c r="A17" s="13"/>
      <c r="B17" s="13"/>
      <c r="C17" s="13" t="s">
        <v>1020</v>
      </c>
      <c r="D17" s="13"/>
      <c r="E17" s="13"/>
      <c r="F17" s="13" t="s">
        <v>1021</v>
      </c>
      <c r="G17" s="13"/>
    </row>
    <row r="18" spans="1:7" ht="38.1" customHeight="1">
      <c r="A18" s="13"/>
      <c r="B18" s="13"/>
      <c r="C18" s="13" t="s">
        <v>1022</v>
      </c>
      <c r="D18" s="13"/>
      <c r="E18" s="13"/>
      <c r="F18" s="13" t="s">
        <v>1023</v>
      </c>
      <c r="G18" s="13"/>
    </row>
    <row r="19" spans="1:7" ht="75.95" customHeight="1">
      <c r="A19" s="14"/>
      <c r="B19" s="14"/>
      <c r="C19" s="14"/>
      <c r="D19" s="14"/>
      <c r="E19" s="14"/>
      <c r="F19" s="14"/>
      <c r="G19" s="14"/>
    </row>
    <row r="20" spans="1:7" ht="30" customHeight="1">
      <c r="A20" s="12">
        <v>8</v>
      </c>
      <c r="B20" s="12">
        <v>9</v>
      </c>
      <c r="C20" s="12">
        <v>10</v>
      </c>
      <c r="D20" s="12">
        <v>11</v>
      </c>
      <c r="E20" s="12">
        <v>12</v>
      </c>
      <c r="F20" s="12">
        <v>13</v>
      </c>
      <c r="G20" s="12">
        <v>14</v>
      </c>
    </row>
    <row r="21" spans="1:7" ht="38.1" customHeight="1">
      <c r="A21" s="13"/>
      <c r="B21" s="13" t="s">
        <v>946</v>
      </c>
      <c r="C21" s="13" t="s">
        <v>947</v>
      </c>
      <c r="D21" s="13" t="s">
        <v>1024</v>
      </c>
      <c r="E21" s="13" t="s">
        <v>949</v>
      </c>
      <c r="F21" s="13" t="s">
        <v>956</v>
      </c>
      <c r="G21" s="13" t="s">
        <v>957</v>
      </c>
    </row>
    <row r="22" spans="1:7" ht="38.1" customHeight="1">
      <c r="A22" s="13"/>
      <c r="B22" s="13" t="s">
        <v>952</v>
      </c>
      <c r="C22" s="13" t="s">
        <v>953</v>
      </c>
      <c r="D22" s="13" t="s">
        <v>948</v>
      </c>
      <c r="E22" s="13" t="s">
        <v>1025</v>
      </c>
      <c r="F22" s="13" t="s">
        <v>1026</v>
      </c>
      <c r="G22" s="13" t="s">
        <v>1027</v>
      </c>
    </row>
    <row r="23" spans="1:7" ht="38.1" customHeight="1">
      <c r="A23" s="13"/>
      <c r="B23" s="13" t="s">
        <v>969</v>
      </c>
      <c r="C23" s="13" t="s">
        <v>959</v>
      </c>
      <c r="D23" s="13" t="s">
        <v>954</v>
      </c>
      <c r="E23" s="13" t="s">
        <v>1028</v>
      </c>
      <c r="F23" s="13" t="s">
        <v>962</v>
      </c>
      <c r="G23" s="13" t="s">
        <v>963</v>
      </c>
    </row>
    <row r="24" spans="1:7" ht="38.1" customHeight="1">
      <c r="A24" s="13"/>
      <c r="B24" s="13" t="s">
        <v>975</v>
      </c>
      <c r="C24" s="13" t="s">
        <v>965</v>
      </c>
      <c r="D24" s="13" t="s">
        <v>960</v>
      </c>
      <c r="E24" s="13" t="s">
        <v>967</v>
      </c>
      <c r="F24" s="13" t="s">
        <v>960</v>
      </c>
      <c r="G24" s="13" t="s">
        <v>968</v>
      </c>
    </row>
    <row r="25" spans="1:7" ht="38.1" customHeight="1">
      <c r="A25" s="13"/>
      <c r="B25" s="13" t="s">
        <v>981</v>
      </c>
      <c r="C25" s="13" t="s">
        <v>970</v>
      </c>
      <c r="D25" s="13" t="s">
        <v>1029</v>
      </c>
      <c r="E25" s="13" t="s">
        <v>972</v>
      </c>
      <c r="F25" s="13" t="s">
        <v>973</v>
      </c>
      <c r="G25" s="13" t="s">
        <v>974</v>
      </c>
    </row>
    <row r="26" spans="1:7" ht="38.1" customHeight="1">
      <c r="A26" s="13"/>
      <c r="B26" s="13" t="s">
        <v>987</v>
      </c>
      <c r="C26" s="13" t="s">
        <v>976</v>
      </c>
      <c r="D26" s="13" t="s">
        <v>966</v>
      </c>
      <c r="E26" s="13" t="s">
        <v>978</v>
      </c>
      <c r="F26" s="13" t="s">
        <v>979</v>
      </c>
      <c r="G26" s="13" t="s">
        <v>1030</v>
      </c>
    </row>
    <row r="27" spans="1:7" ht="38.1" customHeight="1">
      <c r="A27" s="13"/>
      <c r="B27" s="13" t="s">
        <v>993</v>
      </c>
      <c r="C27" s="13" t="s">
        <v>982</v>
      </c>
      <c r="D27" s="13" t="s">
        <v>971</v>
      </c>
      <c r="E27" s="13" t="s">
        <v>1031</v>
      </c>
      <c r="F27" s="13" t="s">
        <v>985</v>
      </c>
      <c r="G27" s="13" t="s">
        <v>980</v>
      </c>
    </row>
    <row r="28" spans="1:7" ht="38.1" customHeight="1">
      <c r="A28" s="13"/>
      <c r="B28" s="13" t="s">
        <v>1004</v>
      </c>
      <c r="C28" s="13" t="s">
        <v>994</v>
      </c>
      <c r="D28" s="13" t="s">
        <v>977</v>
      </c>
      <c r="E28" s="13" t="s">
        <v>996</v>
      </c>
      <c r="F28" s="13" t="s">
        <v>991</v>
      </c>
      <c r="G28" s="13" t="s">
        <v>1032</v>
      </c>
    </row>
    <row r="29" spans="1:7" ht="38.1" customHeight="1">
      <c r="A29" s="13"/>
      <c r="B29" s="13" t="s">
        <v>1010</v>
      </c>
      <c r="C29" s="13" t="s">
        <v>999</v>
      </c>
      <c r="D29" s="13" t="s">
        <v>983</v>
      </c>
      <c r="E29" s="13" t="s">
        <v>1033</v>
      </c>
      <c r="F29" s="13" t="s">
        <v>997</v>
      </c>
      <c r="G29" s="13" t="s">
        <v>1034</v>
      </c>
    </row>
    <row r="30" spans="1:7" ht="38.1" customHeight="1">
      <c r="A30" s="13"/>
      <c r="B30" s="13" t="s">
        <v>1015</v>
      </c>
      <c r="C30" s="13" t="s">
        <v>1005</v>
      </c>
      <c r="D30" s="13" t="s">
        <v>989</v>
      </c>
      <c r="E30" s="13" t="s">
        <v>1001</v>
      </c>
      <c r="F30" s="13" t="s">
        <v>1008</v>
      </c>
      <c r="G30" s="13" t="s">
        <v>1035</v>
      </c>
    </row>
    <row r="31" spans="1:7" ht="38.1" customHeight="1">
      <c r="A31" s="13"/>
      <c r="B31" s="13"/>
      <c r="C31" s="13" t="s">
        <v>1011</v>
      </c>
      <c r="D31" s="13" t="s">
        <v>995</v>
      </c>
      <c r="E31" s="13" t="s">
        <v>1007</v>
      </c>
      <c r="F31" s="13" t="s">
        <v>1013</v>
      </c>
      <c r="G31" s="13" t="s">
        <v>1036</v>
      </c>
    </row>
    <row r="32" spans="1:7" ht="38.1" customHeight="1">
      <c r="A32" s="13"/>
      <c r="B32" s="13"/>
      <c r="C32" s="13" t="s">
        <v>1016</v>
      </c>
      <c r="D32" s="13" t="s">
        <v>1000</v>
      </c>
      <c r="E32" s="13" t="s">
        <v>1006</v>
      </c>
      <c r="F32" s="13" t="s">
        <v>1019</v>
      </c>
      <c r="G32" s="13" t="s">
        <v>998</v>
      </c>
    </row>
    <row r="33" spans="1:7" ht="38.1" customHeight="1">
      <c r="A33" s="13"/>
      <c r="B33" s="13"/>
      <c r="C33" s="13" t="s">
        <v>1020</v>
      </c>
      <c r="D33" s="13" t="s">
        <v>1006</v>
      </c>
      <c r="E33" s="13" t="s">
        <v>1018</v>
      </c>
      <c r="F33" s="13" t="s">
        <v>1037</v>
      </c>
      <c r="G33" s="13" t="s">
        <v>1003</v>
      </c>
    </row>
    <row r="34" spans="1:7" ht="38.1" customHeight="1">
      <c r="A34" s="13"/>
      <c r="B34" s="13"/>
      <c r="C34" s="13"/>
      <c r="D34" s="13" t="s">
        <v>1012</v>
      </c>
      <c r="E34" s="13"/>
      <c r="F34" s="13" t="s">
        <v>1021</v>
      </c>
      <c r="G34" s="13" t="s">
        <v>1009</v>
      </c>
    </row>
    <row r="35" spans="1:7" ht="38.1" customHeight="1">
      <c r="A35" s="13"/>
      <c r="B35" s="13"/>
      <c r="C35" s="13"/>
      <c r="D35" s="13" t="s">
        <v>1017</v>
      </c>
      <c r="E35" s="13"/>
      <c r="F35" s="13" t="s">
        <v>1023</v>
      </c>
      <c r="G35" s="13" t="s">
        <v>1014</v>
      </c>
    </row>
    <row r="36" spans="1:7" ht="38.1" customHeight="1">
      <c r="A36" s="13"/>
      <c r="B36" s="13"/>
      <c r="C36" s="13"/>
      <c r="D36" s="13"/>
      <c r="E36" s="13"/>
      <c r="F36" s="13"/>
      <c r="G36" s="13" t="s">
        <v>1038</v>
      </c>
    </row>
    <row r="37" spans="1:7" ht="75.95" customHeight="1">
      <c r="A37" s="14"/>
      <c r="B37" s="14"/>
      <c r="C37" s="14"/>
      <c r="D37" s="14"/>
      <c r="E37" s="14"/>
      <c r="F37" s="14"/>
      <c r="G37" s="14"/>
    </row>
    <row r="38" spans="1:7" ht="30" customHeight="1">
      <c r="A38" s="12">
        <v>15</v>
      </c>
      <c r="B38" s="12">
        <v>16</v>
      </c>
      <c r="C38" s="12">
        <v>17</v>
      </c>
      <c r="D38" s="12">
        <v>18</v>
      </c>
      <c r="E38" s="12">
        <v>19</v>
      </c>
      <c r="F38" s="12">
        <v>20</v>
      </c>
      <c r="G38" s="12">
        <v>21</v>
      </c>
    </row>
    <row r="39" spans="1:7" ht="38.1" customHeight="1">
      <c r="A39" s="13"/>
      <c r="B39" s="13" t="s">
        <v>955</v>
      </c>
      <c r="C39" s="13" t="s">
        <v>947</v>
      </c>
      <c r="D39" s="13" t="s">
        <v>1024</v>
      </c>
      <c r="E39" s="13" t="s">
        <v>949</v>
      </c>
      <c r="F39" s="13" t="s">
        <v>956</v>
      </c>
      <c r="G39" s="13" t="s">
        <v>1039</v>
      </c>
    </row>
    <row r="40" spans="1:7" ht="38.1" customHeight="1">
      <c r="A40" s="13"/>
      <c r="B40" s="13" t="s">
        <v>952</v>
      </c>
      <c r="C40" s="13" t="s">
        <v>953</v>
      </c>
      <c r="D40" s="13" t="s">
        <v>948</v>
      </c>
      <c r="E40" s="13" t="s">
        <v>961</v>
      </c>
      <c r="F40" s="13" t="s">
        <v>962</v>
      </c>
      <c r="G40" s="13" t="s">
        <v>1040</v>
      </c>
    </row>
    <row r="41" spans="1:7" ht="38.1" customHeight="1">
      <c r="A41" s="13"/>
      <c r="B41" s="13" t="s">
        <v>958</v>
      </c>
      <c r="C41" s="13" t="s">
        <v>959</v>
      </c>
      <c r="D41" s="13" t="s">
        <v>954</v>
      </c>
      <c r="E41" s="13" t="s">
        <v>967</v>
      </c>
      <c r="F41" s="13" t="s">
        <v>960</v>
      </c>
      <c r="G41" s="13" t="s">
        <v>951</v>
      </c>
    </row>
    <row r="42" spans="1:7" ht="38.1" customHeight="1">
      <c r="A42" s="13"/>
      <c r="B42" s="13" t="s">
        <v>964</v>
      </c>
      <c r="C42" s="13" t="s">
        <v>965</v>
      </c>
      <c r="D42" s="13" t="s">
        <v>960</v>
      </c>
      <c r="E42" s="13" t="s">
        <v>972</v>
      </c>
      <c r="F42" s="13" t="s">
        <v>973</v>
      </c>
      <c r="G42" s="13" t="s">
        <v>968</v>
      </c>
    </row>
    <row r="43" spans="1:7" ht="38.1" customHeight="1">
      <c r="A43" s="13"/>
      <c r="B43" s="13" t="s">
        <v>975</v>
      </c>
      <c r="C43" s="13" t="s">
        <v>970</v>
      </c>
      <c r="D43" s="13" t="s">
        <v>966</v>
      </c>
      <c r="E43" s="13" t="s">
        <v>978</v>
      </c>
      <c r="F43" s="13" t="s">
        <v>979</v>
      </c>
      <c r="G43" s="13" t="s">
        <v>980</v>
      </c>
    </row>
    <row r="44" spans="1:7" ht="38.1" customHeight="1">
      <c r="A44" s="13"/>
      <c r="B44" s="13" t="s">
        <v>981</v>
      </c>
      <c r="C44" s="13" t="s">
        <v>976</v>
      </c>
      <c r="D44" s="13" t="s">
        <v>971</v>
      </c>
      <c r="E44" s="13" t="s">
        <v>1031</v>
      </c>
      <c r="F44" s="13" t="s">
        <v>985</v>
      </c>
      <c r="G44" s="13" t="s">
        <v>1032</v>
      </c>
    </row>
    <row r="45" spans="1:7" ht="38.1" customHeight="1">
      <c r="A45" s="13"/>
      <c r="B45" s="13" t="s">
        <v>987</v>
      </c>
      <c r="C45" s="13" t="s">
        <v>982</v>
      </c>
      <c r="D45" s="13" t="s">
        <v>977</v>
      </c>
      <c r="E45" s="13" t="s">
        <v>996</v>
      </c>
      <c r="F45" s="13" t="s">
        <v>991</v>
      </c>
      <c r="G45" s="13" t="s">
        <v>992</v>
      </c>
    </row>
    <row r="46" spans="1:7" ht="38.1" customHeight="1">
      <c r="A46" s="13"/>
      <c r="B46" s="13" t="s">
        <v>993</v>
      </c>
      <c r="C46" s="13" t="s">
        <v>988</v>
      </c>
      <c r="D46" s="13" t="s">
        <v>989</v>
      </c>
      <c r="E46" s="13" t="s">
        <v>1033</v>
      </c>
      <c r="F46" s="13" t="s">
        <v>997</v>
      </c>
      <c r="G46" s="13" t="s">
        <v>998</v>
      </c>
    </row>
    <row r="47" spans="1:7" ht="38.1" customHeight="1">
      <c r="A47" s="13"/>
      <c r="B47" s="13" t="s">
        <v>1004</v>
      </c>
      <c r="C47" s="13" t="s">
        <v>994</v>
      </c>
      <c r="D47" s="13" t="s">
        <v>995</v>
      </c>
      <c r="E47" s="13" t="s">
        <v>1001</v>
      </c>
      <c r="F47" s="13" t="s">
        <v>1008</v>
      </c>
      <c r="G47" s="13" t="s">
        <v>1003</v>
      </c>
    </row>
    <row r="48" spans="1:7" ht="38.1" customHeight="1">
      <c r="A48" s="13"/>
      <c r="B48" s="13" t="s">
        <v>1010</v>
      </c>
      <c r="C48" s="13" t="s">
        <v>999</v>
      </c>
      <c r="D48" s="13" t="s">
        <v>1006</v>
      </c>
      <c r="E48" s="13" t="s">
        <v>1007</v>
      </c>
      <c r="F48" s="13" t="s">
        <v>1013</v>
      </c>
      <c r="G48" s="13" t="s">
        <v>1009</v>
      </c>
    </row>
    <row r="49" spans="1:7" ht="38.1" customHeight="1">
      <c r="A49" s="13"/>
      <c r="B49" s="13" t="s">
        <v>1015</v>
      </c>
      <c r="C49" s="13" t="s">
        <v>1005</v>
      </c>
      <c r="D49" s="13" t="s">
        <v>1012</v>
      </c>
      <c r="E49" s="13" t="s">
        <v>1006</v>
      </c>
      <c r="F49" s="13" t="s">
        <v>1019</v>
      </c>
      <c r="G49" s="13" t="s">
        <v>1014</v>
      </c>
    </row>
    <row r="50" spans="1:7" ht="38.1" customHeight="1">
      <c r="A50" s="13"/>
      <c r="B50" s="13"/>
      <c r="C50" s="13" t="s">
        <v>1011</v>
      </c>
      <c r="D50" s="13" t="s">
        <v>1017</v>
      </c>
      <c r="E50" s="13" t="s">
        <v>1018</v>
      </c>
      <c r="F50" s="13" t="s">
        <v>1037</v>
      </c>
      <c r="G50" s="13"/>
    </row>
    <row r="51" spans="1:7" ht="38.1" customHeight="1">
      <c r="A51" s="13"/>
      <c r="B51" s="13"/>
      <c r="C51" s="13" t="s">
        <v>1016</v>
      </c>
      <c r="D51" s="13"/>
      <c r="E51" s="13"/>
      <c r="F51" s="13" t="s">
        <v>1021</v>
      </c>
      <c r="G51" s="13"/>
    </row>
    <row r="52" spans="1:7" ht="38.1" customHeight="1">
      <c r="A52" s="13"/>
      <c r="B52" s="13"/>
      <c r="C52" s="13" t="s">
        <v>1020</v>
      </c>
      <c r="D52" s="13"/>
      <c r="E52" s="13"/>
      <c r="F52" s="13" t="s">
        <v>1023</v>
      </c>
      <c r="G52" s="13"/>
    </row>
    <row r="53" spans="1:7" ht="38.1" customHeight="1">
      <c r="A53" s="13"/>
      <c r="B53" s="13"/>
      <c r="C53" s="13" t="s">
        <v>1022</v>
      </c>
      <c r="D53" s="13"/>
      <c r="E53" s="13"/>
      <c r="F53" s="13"/>
      <c r="G53" s="13"/>
    </row>
    <row r="54" spans="1:7" ht="75.95" customHeight="1">
      <c r="A54" s="14"/>
      <c r="B54" s="14"/>
      <c r="C54" s="14"/>
      <c r="D54" s="14"/>
      <c r="E54" s="14"/>
      <c r="F54" s="14"/>
      <c r="G54" s="14"/>
    </row>
    <row r="55" spans="1:7" ht="30" customHeight="1">
      <c r="A55" s="12">
        <v>22</v>
      </c>
      <c r="B55" s="12">
        <v>23</v>
      </c>
      <c r="C55" s="12">
        <v>24</v>
      </c>
      <c r="D55" s="12">
        <v>25</v>
      </c>
      <c r="E55" s="12">
        <v>26</v>
      </c>
      <c r="F55" s="12">
        <v>27</v>
      </c>
      <c r="G55" s="12">
        <v>28</v>
      </c>
    </row>
    <row r="56" spans="1:7" ht="38.1" customHeight="1">
      <c r="A56" s="13"/>
      <c r="B56" s="13" t="s">
        <v>1041</v>
      </c>
      <c r="C56" s="13" t="s">
        <v>947</v>
      </c>
      <c r="D56" s="13" t="s">
        <v>1024</v>
      </c>
      <c r="E56" s="13" t="s">
        <v>949</v>
      </c>
      <c r="F56" s="13" t="s">
        <v>956</v>
      </c>
      <c r="G56" s="13" t="s">
        <v>1039</v>
      </c>
    </row>
    <row r="57" spans="1:7" ht="38.1" customHeight="1">
      <c r="A57" s="13"/>
      <c r="B57" s="13" t="s">
        <v>952</v>
      </c>
      <c r="C57" s="13" t="s">
        <v>953</v>
      </c>
      <c r="D57" s="13" t="s">
        <v>948</v>
      </c>
      <c r="E57" s="13" t="s">
        <v>961</v>
      </c>
      <c r="F57" s="13" t="s">
        <v>962</v>
      </c>
      <c r="G57" s="13" t="s">
        <v>957</v>
      </c>
    </row>
    <row r="58" spans="1:7" ht="38.1" customHeight="1">
      <c r="A58" s="13"/>
      <c r="B58" s="13" t="s">
        <v>958</v>
      </c>
      <c r="C58" s="13" t="s">
        <v>959</v>
      </c>
      <c r="D58" s="13" t="s">
        <v>954</v>
      </c>
      <c r="E58" s="13" t="s">
        <v>967</v>
      </c>
      <c r="F58" s="13" t="s">
        <v>960</v>
      </c>
      <c r="G58" s="13" t="s">
        <v>1027</v>
      </c>
    </row>
    <row r="59" spans="1:7" ht="38.1" customHeight="1">
      <c r="A59" s="13"/>
      <c r="B59" s="13" t="s">
        <v>964</v>
      </c>
      <c r="C59" s="13" t="s">
        <v>965</v>
      </c>
      <c r="D59" s="13" t="s">
        <v>960</v>
      </c>
      <c r="E59" s="13" t="s">
        <v>978</v>
      </c>
      <c r="F59" s="13" t="s">
        <v>973</v>
      </c>
      <c r="G59" s="13" t="s">
        <v>963</v>
      </c>
    </row>
    <row r="60" spans="1:7" ht="38.1" customHeight="1">
      <c r="A60" s="13"/>
      <c r="B60" s="13" t="s">
        <v>969</v>
      </c>
      <c r="C60" s="13" t="s">
        <v>970</v>
      </c>
      <c r="D60" s="13" t="s">
        <v>1029</v>
      </c>
      <c r="E60" s="13" t="s">
        <v>984</v>
      </c>
      <c r="F60" s="13" t="s">
        <v>979</v>
      </c>
      <c r="G60" s="13" t="s">
        <v>968</v>
      </c>
    </row>
    <row r="61" spans="1:7" ht="38.1" customHeight="1">
      <c r="A61" s="13"/>
      <c r="B61" s="13" t="s">
        <v>975</v>
      </c>
      <c r="C61" s="13" t="s">
        <v>976</v>
      </c>
      <c r="D61" s="13" t="s">
        <v>966</v>
      </c>
      <c r="E61" s="13" t="s">
        <v>990</v>
      </c>
      <c r="F61" s="13" t="s">
        <v>985</v>
      </c>
      <c r="G61" s="13" t="s">
        <v>974</v>
      </c>
    </row>
    <row r="62" spans="1:7" ht="38.1" customHeight="1">
      <c r="A62" s="13"/>
      <c r="B62" s="13" t="s">
        <v>981</v>
      </c>
      <c r="C62" s="13" t="s">
        <v>982</v>
      </c>
      <c r="D62" s="13" t="s">
        <v>977</v>
      </c>
      <c r="E62" s="13" t="s">
        <v>1031</v>
      </c>
      <c r="F62" s="13" t="s">
        <v>991</v>
      </c>
      <c r="G62" s="13" t="s">
        <v>1042</v>
      </c>
    </row>
    <row r="63" spans="1:7" ht="38.1" customHeight="1">
      <c r="A63" s="13"/>
      <c r="B63" s="13" t="s">
        <v>987</v>
      </c>
      <c r="C63" s="13" t="s">
        <v>988</v>
      </c>
      <c r="D63" s="13" t="s">
        <v>983</v>
      </c>
      <c r="E63" s="13" t="s">
        <v>996</v>
      </c>
      <c r="F63" s="13" t="s">
        <v>997</v>
      </c>
      <c r="G63" s="13" t="s">
        <v>1030</v>
      </c>
    </row>
    <row r="64" spans="1:7" ht="38.1" customHeight="1">
      <c r="A64" s="13"/>
      <c r="B64" s="13" t="s">
        <v>993</v>
      </c>
      <c r="C64" s="13" t="s">
        <v>994</v>
      </c>
      <c r="D64" s="13" t="s">
        <v>989</v>
      </c>
      <c r="E64" s="13" t="s">
        <v>1001</v>
      </c>
      <c r="F64" s="13" t="s">
        <v>1008</v>
      </c>
      <c r="G64" s="13" t="s">
        <v>980</v>
      </c>
    </row>
    <row r="65" spans="1:7" ht="38.1" customHeight="1">
      <c r="A65" s="13"/>
      <c r="B65" s="13" t="s">
        <v>1004</v>
      </c>
      <c r="C65" s="13" t="s">
        <v>999</v>
      </c>
      <c r="D65" s="13" t="s">
        <v>995</v>
      </c>
      <c r="E65" s="13" t="s">
        <v>1007</v>
      </c>
      <c r="F65" s="13" t="s">
        <v>1013</v>
      </c>
      <c r="G65" s="13" t="s">
        <v>1032</v>
      </c>
    </row>
    <row r="66" spans="1:7" ht="38.1" customHeight="1">
      <c r="A66" s="13"/>
      <c r="B66" s="13" t="s">
        <v>1010</v>
      </c>
      <c r="C66" s="13" t="s">
        <v>1005</v>
      </c>
      <c r="D66" s="13" t="s">
        <v>1006</v>
      </c>
      <c r="E66" s="13" t="s">
        <v>1006</v>
      </c>
      <c r="F66" s="13" t="s">
        <v>1019</v>
      </c>
      <c r="G66" s="13" t="s">
        <v>1034</v>
      </c>
    </row>
    <row r="67" spans="1:7" ht="38.1" customHeight="1">
      <c r="A67" s="13"/>
      <c r="B67" s="13" t="s">
        <v>1022</v>
      </c>
      <c r="C67" s="13" t="s">
        <v>1011</v>
      </c>
      <c r="D67" s="13" t="s">
        <v>1012</v>
      </c>
      <c r="E67" s="13"/>
      <c r="F67" s="13" t="s">
        <v>1037</v>
      </c>
      <c r="G67" s="13" t="s">
        <v>1035</v>
      </c>
    </row>
    <row r="68" spans="1:7" ht="38.1" customHeight="1">
      <c r="A68" s="13"/>
      <c r="B68" s="13"/>
      <c r="C68" s="13" t="s">
        <v>1016</v>
      </c>
      <c r="D68" s="13" t="s">
        <v>1017</v>
      </c>
      <c r="E68" s="13"/>
      <c r="F68" s="13" t="s">
        <v>1021</v>
      </c>
      <c r="G68" s="13" t="s">
        <v>1036</v>
      </c>
    </row>
    <row r="69" spans="1:7" ht="38.1" customHeight="1">
      <c r="A69" s="13"/>
      <c r="B69" s="13"/>
      <c r="C69" s="13" t="s">
        <v>1020</v>
      </c>
      <c r="D69" s="13"/>
      <c r="E69" s="13"/>
      <c r="F69" s="13" t="s">
        <v>1023</v>
      </c>
      <c r="G69" s="13" t="s">
        <v>998</v>
      </c>
    </row>
    <row r="70" spans="1:7" ht="38.1" customHeight="1">
      <c r="A70" s="13"/>
      <c r="B70" s="13"/>
      <c r="C70" s="13" t="s">
        <v>1022</v>
      </c>
      <c r="D70" s="13"/>
      <c r="E70" s="13"/>
      <c r="F70" s="13" t="s">
        <v>1043</v>
      </c>
      <c r="G70" s="13" t="s">
        <v>1003</v>
      </c>
    </row>
    <row r="71" spans="1:7" ht="38.1" customHeight="1">
      <c r="A71" s="13"/>
      <c r="B71" s="13"/>
      <c r="C71" s="13"/>
      <c r="D71" s="13"/>
      <c r="E71" s="13"/>
      <c r="F71" s="13"/>
      <c r="G71" s="13" t="s">
        <v>1009</v>
      </c>
    </row>
    <row r="72" spans="1:7" ht="38.1" customHeight="1">
      <c r="A72" s="13"/>
      <c r="B72" s="13"/>
      <c r="C72" s="13"/>
      <c r="D72" s="13"/>
      <c r="E72" s="13"/>
      <c r="F72" s="13"/>
      <c r="G72" s="13" t="s">
        <v>1014</v>
      </c>
    </row>
    <row r="73" spans="1:7" ht="38.1" customHeight="1">
      <c r="A73" s="13"/>
      <c r="B73" s="13"/>
      <c r="C73" s="13"/>
      <c r="D73" s="13"/>
      <c r="E73" s="13"/>
      <c r="F73" s="13"/>
      <c r="G73" s="13" t="s">
        <v>1038</v>
      </c>
    </row>
    <row r="74" spans="1:7" ht="75.95" customHeight="1">
      <c r="A74" s="14"/>
      <c r="B74" s="14"/>
      <c r="C74" s="14"/>
      <c r="D74" s="14"/>
      <c r="E74" s="14"/>
      <c r="F74" s="14"/>
      <c r="G74" s="14"/>
    </row>
    <row r="75" spans="1:7" ht="30" customHeight="1">
      <c r="A75" s="12">
        <v>29</v>
      </c>
      <c r="B75" s="12">
        <v>30</v>
      </c>
      <c r="C75" s="12"/>
      <c r="D75" s="12"/>
      <c r="E75" s="12"/>
      <c r="F75" s="12"/>
      <c r="G75" s="12"/>
    </row>
    <row r="76" spans="1:7" ht="38.1" customHeight="1">
      <c r="A76" s="13"/>
      <c r="B76" s="13" t="s">
        <v>952</v>
      </c>
      <c r="C76" s="13"/>
      <c r="D76" s="13"/>
      <c r="E76" s="13"/>
      <c r="F76" s="13"/>
      <c r="G76" s="13"/>
    </row>
    <row r="77" spans="1:7" ht="38.1" customHeight="1">
      <c r="A77" s="13"/>
      <c r="B77" s="13" t="s">
        <v>958</v>
      </c>
      <c r="C77" s="13"/>
      <c r="D77" s="13"/>
      <c r="E77" s="13"/>
      <c r="F77" s="13"/>
      <c r="G77" s="13"/>
    </row>
    <row r="78" spans="1:7" ht="38.1" customHeight="1">
      <c r="A78" s="13"/>
      <c r="B78" s="13" t="s">
        <v>964</v>
      </c>
      <c r="C78" s="13"/>
      <c r="D78" s="13"/>
      <c r="E78" s="13"/>
      <c r="F78" s="13"/>
      <c r="G78" s="13"/>
    </row>
    <row r="79" spans="1:7" ht="38.1" customHeight="1">
      <c r="A79" s="13"/>
      <c r="B79" s="13" t="s">
        <v>969</v>
      </c>
      <c r="C79" s="13"/>
      <c r="D79" s="13"/>
      <c r="E79" s="13"/>
      <c r="F79" s="13"/>
      <c r="G79" s="13"/>
    </row>
    <row r="80" spans="1:7" ht="38.1" customHeight="1">
      <c r="A80" s="13"/>
      <c r="B80" s="13" t="s">
        <v>975</v>
      </c>
      <c r="C80" s="13"/>
      <c r="D80" s="13"/>
      <c r="E80" s="13"/>
      <c r="F80" s="13"/>
      <c r="G80" s="13"/>
    </row>
    <row r="81" spans="1:7" ht="38.1" customHeight="1">
      <c r="A81" s="13"/>
      <c r="B81" s="13" t="s">
        <v>981</v>
      </c>
      <c r="C81" s="13"/>
      <c r="D81" s="13"/>
      <c r="E81" s="13"/>
      <c r="F81" s="13"/>
      <c r="G81" s="13"/>
    </row>
    <row r="82" spans="1:7" ht="38.1" customHeight="1">
      <c r="A82" s="13"/>
      <c r="B82" s="13" t="s">
        <v>987</v>
      </c>
      <c r="C82" s="13"/>
      <c r="D82" s="13"/>
      <c r="E82" s="13"/>
      <c r="F82" s="13"/>
      <c r="G82" s="13"/>
    </row>
    <row r="83" spans="1:7" ht="38.1" customHeight="1">
      <c r="A83" s="13"/>
      <c r="B83" s="13" t="s">
        <v>993</v>
      </c>
      <c r="C83" s="13"/>
      <c r="D83" s="13"/>
      <c r="E83" s="13"/>
      <c r="F83" s="13"/>
      <c r="G83" s="13"/>
    </row>
    <row r="84" spans="1:7" ht="38.1" customHeight="1">
      <c r="A84" s="13"/>
      <c r="B84" s="13" t="s">
        <v>1004</v>
      </c>
      <c r="C84" s="13"/>
      <c r="D84" s="13"/>
      <c r="E84" s="13"/>
      <c r="F84" s="13"/>
      <c r="G84" s="13"/>
    </row>
    <row r="85" spans="1:7" ht="38.1" customHeight="1">
      <c r="A85" s="13"/>
      <c r="B85" s="13" t="s">
        <v>1010</v>
      </c>
      <c r="C85" s="13"/>
      <c r="D85" s="13"/>
      <c r="E85" s="13"/>
      <c r="F85" s="13"/>
      <c r="G85" s="13"/>
    </row>
    <row r="86" spans="1:7" ht="38.1" customHeight="1">
      <c r="A86" s="13"/>
      <c r="B86" s="13" t="s">
        <v>1015</v>
      </c>
      <c r="C86" s="13"/>
      <c r="D86" s="13"/>
      <c r="E86" s="13"/>
      <c r="F86" s="13"/>
      <c r="G86" s="13"/>
    </row>
    <row r="87" spans="1:7" ht="75.95" customHeight="1">
      <c r="A87" s="14"/>
      <c r="B87" s="14"/>
      <c r="C87" s="14"/>
      <c r="D87" s="14"/>
      <c r="E87" s="14"/>
      <c r="F87" s="14"/>
      <c r="G87" s="14"/>
    </row>
    <row r="89" spans="1:7" ht="38.1" customHeight="1">
      <c r="A89" s="8" t="s">
        <v>1044</v>
      </c>
    </row>
    <row r="90" spans="1:7" ht="30" customHeight="1">
      <c r="A90" s="15" t="s">
        <v>1045</v>
      </c>
      <c r="B90" s="21" t="s">
        <v>493</v>
      </c>
      <c r="C90" s="21"/>
      <c r="D90" s="21"/>
      <c r="E90" s="21"/>
      <c r="F90" s="21"/>
      <c r="G90" s="21"/>
    </row>
    <row r="91" spans="1:7" ht="38.1" customHeight="1">
      <c r="A91" s="16" t="s">
        <v>1046</v>
      </c>
      <c r="B91" s="20" t="s">
        <v>1047</v>
      </c>
      <c r="C91" s="20"/>
      <c r="D91" s="20"/>
      <c r="E91" s="20"/>
      <c r="F91" s="20"/>
      <c r="G91" s="20"/>
    </row>
    <row r="92" spans="1:7" ht="38.1" customHeight="1">
      <c r="A92" s="16" t="s">
        <v>1048</v>
      </c>
      <c r="B92" s="20" t="s">
        <v>1049</v>
      </c>
      <c r="C92" s="20"/>
      <c r="D92" s="20"/>
      <c r="E92" s="20"/>
      <c r="F92" s="20"/>
      <c r="G92" s="20"/>
    </row>
    <row r="93" spans="1:7" ht="38.1" customHeight="1">
      <c r="A93" s="16" t="s">
        <v>1050</v>
      </c>
      <c r="B93" s="20" t="s">
        <v>1051</v>
      </c>
      <c r="C93" s="20"/>
      <c r="D93" s="20"/>
      <c r="E93" s="20"/>
      <c r="F93" s="20"/>
      <c r="G93" s="20"/>
    </row>
    <row r="94" spans="1:7" ht="38.1" customHeight="1">
      <c r="A94" s="16" t="s">
        <v>1052</v>
      </c>
      <c r="B94" s="20" t="s">
        <v>1053</v>
      </c>
      <c r="C94" s="20"/>
      <c r="D94" s="20"/>
      <c r="E94" s="20"/>
      <c r="F94" s="20"/>
      <c r="G94" s="20"/>
    </row>
    <row r="95" spans="1:7" ht="38.1" customHeight="1">
      <c r="A95" s="16" t="s">
        <v>1054</v>
      </c>
      <c r="B95" s="20" t="s">
        <v>1055</v>
      </c>
      <c r="C95" s="20"/>
      <c r="D95" s="20"/>
      <c r="E95" s="20"/>
      <c r="F95" s="20"/>
      <c r="G95" s="20"/>
    </row>
  </sheetData>
  <mergeCells count="6">
    <mergeCell ref="B95:G95"/>
    <mergeCell ref="B90:G90"/>
    <mergeCell ref="B91:G91"/>
    <mergeCell ref="B92:G92"/>
    <mergeCell ref="B93:G93"/>
    <mergeCell ref="B94:G94"/>
  </mergeCells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B88E-C2FE-4743-B039-B96EDE64831F}">
  <dimension ref="A1:G95"/>
  <sheetViews>
    <sheetView zoomScale="55" zoomScaleNormal="55" workbookViewId="0"/>
  </sheetViews>
  <sheetFormatPr defaultRowHeight="18.75"/>
  <cols>
    <col min="1" max="7" width="42" style="9" customWidth="1"/>
    <col min="8" max="16384" width="9" style="9"/>
  </cols>
  <sheetData>
    <row r="1" spans="1:7" ht="38.1" customHeight="1">
      <c r="A1" s="8" t="s">
        <v>938</v>
      </c>
      <c r="G1" s="10" t="s">
        <v>44</v>
      </c>
    </row>
    <row r="2" spans="1:7" ht="30" customHeight="1">
      <c r="A2" s="11" t="s">
        <v>939</v>
      </c>
      <c r="B2" s="11" t="s">
        <v>940</v>
      </c>
      <c r="C2" s="11" t="s">
        <v>941</v>
      </c>
      <c r="D2" s="11" t="s">
        <v>942</v>
      </c>
      <c r="E2" s="11" t="s">
        <v>943</v>
      </c>
      <c r="F2" s="11" t="s">
        <v>944</v>
      </c>
      <c r="G2" s="11" t="s">
        <v>945</v>
      </c>
    </row>
    <row r="3" spans="1:7" ht="30" customHeight="1">
      <c r="A3" s="12">
        <v>1</v>
      </c>
      <c r="B3" s="12">
        <v>2</v>
      </c>
      <c r="C3" s="12">
        <v>3</v>
      </c>
      <c r="D3" s="12">
        <v>4</v>
      </c>
      <c r="E3" s="12">
        <v>5</v>
      </c>
      <c r="F3" s="12">
        <v>6</v>
      </c>
      <c r="G3" s="12">
        <v>7</v>
      </c>
    </row>
    <row r="4" spans="1:7" ht="38.1" customHeight="1">
      <c r="A4" s="13"/>
      <c r="B4" s="13" t="str">
        <f>IF('予定・実績管理 全児童-2025年6月'!B4&lt;&gt;"",SUBSTITUTE(REPLACE('予定・実績管理 全児童-2025年6月'!B4,17,1,"〇"),MID('予定・実績管理 全児童-2025年6月'!B4,LEN('予定・実績管理 全児童-2025年6月'!B4)-1,1),"〇"),"")</f>
        <v>16:00-17:40 [放] 〇浦 峻〇朗</v>
      </c>
      <c r="C4" s="13" t="str">
        <f>IF('予定・実績管理 全児童-2025年6月'!C4&lt;&gt;"",SUBSTITUTE(REPLACE('予定・実績管理 全児童-2025年6月'!C4,17,1,"〇"),MID('予定・実績管理 全児童-2025年6月'!C4,LEN('予定・実績管理 全児童-2025年6月'!C4)-1,1),"〇"),"")</f>
        <v>14:20-16:00 [放] 〇矢 〇穂</v>
      </c>
      <c r="D4" s="13" t="str">
        <f>IF('予定・実績管理 全児童-2025年6月'!D4&lt;&gt;"",SUBSTITUTE(REPLACE('予定・実績管理 全児童-2025年6月'!D4,17,1,"〇"),MID('予定・実績管理 全児童-2025年6月'!D4,LEN('予定・実績管理 全児童-2025年6月'!D4)-1,1),"〇"),"")</f>
        <v>16:00-17:40〇[放]〇〇笠原〇駿</v>
      </c>
      <c r="E4" s="13" t="str">
        <f>IF('予定・実績管理 全児童-2025年6月'!E4&lt;&gt;"",SUBSTITUTE(REPLACE('予定・実績管理 全児童-2025年6月'!E4,17,1,"〇"),MID('予定・実績管理 全児童-2025年6月'!E4,LEN('予定・実績管理 全児童-2025年6月'!E4)-1,1),"〇"),"")</f>
        <v>14:20-16:00 [放] 〇村 〇花</v>
      </c>
      <c r="F4" s="13" t="str">
        <f>IF('予定・実績管理 全児童-2025年6月'!F4&lt;&gt;"",SUBSTITUTE(REPLACE('予定・実績管理 全児童-2025年6月'!F4,17,1,"〇"),MID('予定・実績管理 全児童-2025年6月'!F4,LEN('予定・実績管理 全児童-2025年6月'!F4)-1,1),"〇"),"")</f>
        <v>16:00-17:40 [放] 〇斐 〇惺</v>
      </c>
      <c r="G4" s="13" t="str">
        <f>IF('予定・実績管理 全児童-2025年6月'!G4&lt;&gt;"",SUBSTITUTE(REPLACE('予定・実績管理 全児童-2025年6月'!G4,17,1,"〇"),MID('予定・実績管理 全児童-2025年6月'!G4,LEN('予定・実績管理 全児童-2025年6月'!G4)-1,1),"〇"),"")</f>
        <v>10:15-11:55〇[放]〇〇松〇奏</v>
      </c>
    </row>
    <row r="5" spans="1:7" ht="38.1" customHeight="1">
      <c r="A5" s="13"/>
      <c r="B5" s="13" t="str">
        <f>IF('予定・実績管理 全児童-2025年6月'!B5&lt;&gt;"",SUBSTITUTE(REPLACE('予定・実績管理 全児童-2025年6月'!B5,17,1,"〇"),MID('予定・実績管理 全児童-2025年6月'!B5,LEN('予定・実績管理 全児童-2025年6月'!B5)-1,1),"〇"),"")</f>
        <v>16:00-17:40 [放] 〇本 〇成</v>
      </c>
      <c r="C5" s="13" t="str">
        <f>IF('予定・実績管理 全児童-2025年6月'!C5&lt;&gt;"",SUBSTITUTE(REPLACE('予定・実績管理 全児童-2025年6月'!C5,17,1,"〇"),MID('予定・実績管理 全児童-2025年6月'!C5,LEN('予定・実績管理 全児童-2025年6月'!C5)-1,1),"〇"),"")</f>
        <v>16:00-17:40 [放] 〇野 〇悟</v>
      </c>
      <c r="D5" s="13" t="str">
        <f>IF('予定・実績管理 全児童-2025年6月'!D5&lt;&gt;"",SUBSTITUTE(REPLACE('予定・実績管理 全児童-2025年6月'!D5,17,1,"〇"),MID('予定・実績管理 全児童-2025年6月'!D5,LEN('予定・実績管理 全児童-2025年6月'!D5)-1,1),"〇"),"")</f>
        <v>16:00-17:40 [放] 〇本 〇佑</v>
      </c>
      <c r="E5" s="13" t="str">
        <f>IF('予定・実績管理 全児童-2025年6月'!E5&lt;&gt;"",SUBSTITUTE(REPLACE('予定・実績管理 全児童-2025年6月'!E5,17,1,"〇"),MID('予定・実績管理 全児童-2025年6月'!E5,LEN('予定・実績管理 全児童-2025年6月'!E5)-1,1),"〇"),"")</f>
        <v>14:20-17:40 [放] 〇上 〇太</v>
      </c>
      <c r="F5" s="13" t="str">
        <f>IF('予定・実績管理 全児童-2025年6月'!F5&lt;&gt;"",SUBSTITUTE(REPLACE('予定・実績管理 全児童-2025年6月'!F5,17,1,"〇"),MID('予定・実績管理 全児童-2025年6月'!F5,LEN('予定・実績管理 全児童-2025年6月'!F5)-1,1),"〇"),"")</f>
        <v>16:00-17:40 [放] 〇本 〇真</v>
      </c>
      <c r="G5" s="13" t="str">
        <f>IF('予定・実績管理 全児童-2025年6月'!G5&lt;&gt;"",SUBSTITUTE(REPLACE('予定・実績管理 全児童-2025年6月'!G5,17,1,"〇"),MID('予定・実績管理 全児童-2025年6月'!G5,LEN('予定・実績管理 全児童-2025年6月'!G5)-1,1),"〇"),"")</f>
        <v>10:15-11:55 [放] 〇柳 〇輝</v>
      </c>
    </row>
    <row r="6" spans="1:7" ht="38.1" customHeight="1">
      <c r="A6" s="13"/>
      <c r="B6" s="13" t="str">
        <f>IF('予定・実績管理 全児童-2025年6月'!B6&lt;&gt;"",SUBSTITUTE(REPLACE('予定・実績管理 全児童-2025年6月'!B6,17,1,"〇"),MID('予定・実績管理 全児童-2025年6月'!B6,LEN('予定・実績管理 全児童-2025年6月'!B6)-1,1),"〇"),"")</f>
        <v>16:00-17:40 [放] 〇見渕 〇吾</v>
      </c>
      <c r="C6" s="13" t="str">
        <f>IF('予定・実績管理 全児童-2025年6月'!C6&lt;&gt;"",SUBSTITUTE(REPLACE('予定・実績管理 全児童-2025年6月'!C6,17,1,"〇"),MID('予定・実績管理 全児童-2025年6月'!C6,LEN('予定・実績管理 全児童-2025年6月'!C6)-1,1),"〇"),"")</f>
        <v>16:00-17:40 [放] 〇田 〇世</v>
      </c>
      <c r="D6" s="13" t="str">
        <f>IF('予定・実績管理 全児童-2025年6月'!D6&lt;&gt;"",SUBSTITUTE(REPLACE('予定・実績管理 全児童-2025年6月'!D6,17,1,"〇"),MID('予定・実績管理 全児童-2025年6月'!D6,LEN('予定・実績管理 全児童-2025年6月'!D6)-1,1),"〇"),"")</f>
        <v>16:00-17:40 [放] 〇井 〇郁</v>
      </c>
      <c r="E6" s="13" t="str">
        <f>IF('予定・実績管理 全児童-2025年6月'!E6&lt;&gt;"",SUBSTITUTE(REPLACE('予定・実績管理 全児童-2025年6月'!E6,17,1,"〇"),MID('予定・実績管理 全児童-2025年6月'!E6,LEN('予定・実績管理 全児童-2025年6月'!E6)-1,1),"〇"),"")</f>
        <v>16:00-17:40 [放] 〇田 〇真</v>
      </c>
      <c r="F6" s="13" t="str">
        <f>IF('予定・実績管理 全児童-2025年6月'!F6&lt;&gt;"",SUBSTITUTE(REPLACE('予定・実績管理 全児童-2025年6月'!F6,17,1,"〇"),MID('予定・実績管理 全児童-2025年6月'!F6,LEN('予定・実績管理 全児童-2025年6月'!F6)-1,1),"〇"),"")</f>
        <v>16:00-17:40 [放] 〇田 〇生</v>
      </c>
      <c r="G6" s="13" t="str">
        <f>IF('予定・実績管理 全児童-2025年6月'!G6&lt;&gt;"",SUBSTITUTE(REPLACE('予定・実績管理 全児童-2025年6月'!G6,17,1,"〇"),MID('予定・実績管理 全児童-2025年6月'!G6,LEN('予定・実績管理 全児童-2025年6月'!G6)-1,1),"〇"),"")</f>
        <v>10:15-11:55 [放] 〇田 〇生</v>
      </c>
    </row>
    <row r="7" spans="1:7" ht="38.1" customHeight="1">
      <c r="A7" s="13"/>
      <c r="B7" s="13" t="str">
        <f>IF('予定・実績管理 全児童-2025年6月'!B7&lt;&gt;"",SUBSTITUTE(REPLACE('予定・実績管理 全児童-2025年6月'!B7,17,1,"〇"),MID('予定・実績管理 全児童-2025年6月'!B7,LEN('予定・実績管理 全児童-2025年6月'!B7)-1,1),"〇"),"")</f>
        <v>16:00-17:40 [放] 〇前 〇伎</v>
      </c>
      <c r="C7" s="13" t="str">
        <f>IF('予定・実績管理 全児童-2025年6月'!C7&lt;&gt;"",SUBSTITUTE(REPLACE('予定・実績管理 全児童-2025年6月'!C7,17,1,"〇"),MID('予定・実績管理 全児童-2025年6月'!C7,LEN('予定・実績管理 全児童-2025年6月'!C7)-1,1),"〇"),"")</f>
        <v>16:00-17:40 [放] 〇原 蒼〇朗</v>
      </c>
      <c r="D7" s="13" t="str">
        <f>IF('予定・実績管理 全児童-2025年6月'!D7&lt;&gt;"",SUBSTITUTE(REPLACE('予定・実績管理 全児童-2025年6月'!D7,17,1,"〇"),MID('予定・実績管理 全児童-2025年6月'!D7,LEN('予定・実績管理 全児童-2025年6月'!D7)-1,1),"〇"),"")</f>
        <v>16:00-17:40〇[放]〇〇崎〇翼</v>
      </c>
      <c r="E7" s="13" t="str">
        <f>IF('予定・実績管理 全児童-2025年6月'!E7&lt;&gt;"",SUBSTITUTE(REPLACE('予定・実績管理 全児童-2025年6月'!E7,17,1,"〇"),MID('予定・実績管理 全児童-2025年6月'!E7,LEN('予定・実績管理 全児童-2025年6月'!E7)-1,1),"〇"),"")</f>
        <v>16:00-17:40 [放] 〇田 〇翔</v>
      </c>
      <c r="F7" s="13" t="str">
        <f>IF('予定・実績管理 全児童-2025年6月'!F7&lt;&gt;"",SUBSTITUTE(REPLACE('予定・実績管理 全児童-2025年6月'!F7,17,1,"〇"),MID('予定・実績管理 全児童-2025年6月'!F7,LEN('予定・実績管理 全児童-2025年6月'!F7)-1,1),"〇"),"")</f>
        <v>16:00-17:40 [放] 〇井 〇郁</v>
      </c>
      <c r="G7" s="13" t="str">
        <f>IF('予定・実績管理 全児童-2025年6月'!G7&lt;&gt;"",SUBSTITUTE(REPLACE('予定・実績管理 全児童-2025年6月'!G7,17,1,"〇"),MID('予定・実績管理 全児童-2025年6月'!G7,LEN('予定・実績管理 全児童-2025年6月'!G7)-1,1),"〇"),"")</f>
        <v>10:15-11:55 [放] 〇田 〇音</v>
      </c>
    </row>
    <row r="8" spans="1:7" ht="38.1" customHeight="1">
      <c r="A8" s="13"/>
      <c r="B8" s="13" t="str">
        <f>IF('予定・実績管理 全児童-2025年6月'!B8&lt;&gt;"",SUBSTITUTE(REPLACE('予定・実績管理 全児童-2025年6月'!B8,17,1,"〇"),MID('予定・実績管理 全児童-2025年6月'!B8,LEN('予定・実績管理 全児童-2025年6月'!B8)-1,1),"〇"),"")</f>
        <v>16:00-17:40 [放] 〇上 〇太</v>
      </c>
      <c r="C8" s="13" t="str">
        <f>IF('予定・実績管理 全児童-2025年6月'!C8&lt;&gt;"",SUBSTITUTE(REPLACE('予定・実績管理 全児童-2025年6月'!C8,17,1,"〇"),MID('予定・実績管理 全児童-2025年6月'!C8,LEN('予定・実績管理 全児童-2025年6月'!C8)-1,1),"〇"),"")</f>
        <v>16:00-17:40 [放] 〇西 〇偉</v>
      </c>
      <c r="D8" s="13" t="str">
        <f>IF('予定・実績管理 全児童-2025年6月'!D8&lt;&gt;"",SUBSTITUTE(REPLACE('予定・実績管理 全児童-2025年6月'!D8,17,1,"〇"),MID('予定・実績管理 全児童-2025年6月'!D8,LEN('予定・実績管理 全児童-2025年6月'!D8)-1,1),"〇"),"")</f>
        <v>16:00-17:40 [放] 〇山 紘〇朗</v>
      </c>
      <c r="E8" s="13" t="str">
        <f>IF('予定・実績管理 全児童-2025年6月'!E8&lt;&gt;"",SUBSTITUTE(REPLACE('予定・実績管理 全児童-2025年6月'!E8,17,1,"〇"),MID('予定・実績管理 全児童-2025年6月'!E8,LEN('予定・実績管理 全児童-2025年6月'!E8)-1,1),"〇"),"")</f>
        <v>16:00-17:40 [放] 〇井 〇弥</v>
      </c>
      <c r="F8" s="13" t="str">
        <f>IF('予定・実績管理 全児童-2025年6月'!F8&lt;&gt;"",SUBSTITUTE(REPLACE('予定・実績管理 全児童-2025年6月'!F8,17,1,"〇"),MID('予定・実績管理 全児童-2025年6月'!F8,LEN('予定・実績管理 全児童-2025年6月'!F8)-1,1),"〇"),"")</f>
        <v>16:00-17:40〇[放]〇〇井〇翼</v>
      </c>
      <c r="G8" s="13" t="str">
        <f>IF('予定・実績管理 全児童-2025年6月'!G8&lt;&gt;"",SUBSTITUTE(REPLACE('予定・実績管理 全児童-2025年6月'!G8,17,1,"〇"),MID('予定・実績管理 全児童-2025年6月'!G8,LEN('予定・実績管理 全児童-2025年6月'!G8)-1,1),"〇"),"")</f>
        <v>10:15-11:55 [放] 〇井 〇磨</v>
      </c>
    </row>
    <row r="9" spans="1:7" ht="38.1" customHeight="1">
      <c r="A9" s="13"/>
      <c r="B9" s="13" t="str">
        <f>IF('予定・実績管理 全児童-2025年6月'!B9&lt;&gt;"",SUBSTITUTE(REPLACE('予定・実績管理 全児童-2025年6月'!B9,17,1,"〇"),MID('予定・実績管理 全児童-2025年6月'!B9,LEN('予定・実績管理 全児童-2025年6月'!B9)-1,1),"〇"),"")</f>
        <v>16:00-17:40 [放] 〇野 〇輝</v>
      </c>
      <c r="C9" s="13" t="str">
        <f>IF('予定・実績管理 全児童-2025年6月'!C9&lt;&gt;"",SUBSTITUTE(REPLACE('予定・実績管理 全児童-2025年6月'!C9,17,1,"〇"),MID('予定・実績管理 全児童-2025年6月'!C9,LEN('予定・実績管理 全児童-2025年6月'!C9)-1,1),"〇"),"")</f>
        <v>16:00-17:40 [放] 〇仲 〇大</v>
      </c>
      <c r="D9" s="13" t="str">
        <f>IF('予定・実績管理 全児童-2025年6月'!D9&lt;&gt;"",SUBSTITUTE(REPLACE('予定・実績管理 全児童-2025年6月'!D9,17,1,"〇"),MID('予定・実績管理 全児童-2025年6月'!D9,LEN('予定・実績管理 全児童-2025年6月'!D9)-1,1),"〇"),"")</f>
        <v>17:45-19:25 [放] 〇上 〇介</v>
      </c>
      <c r="E9" s="13" t="str">
        <f>IF('予定・実績管理 全児童-2025年6月'!E9&lt;&gt;"",SUBSTITUTE(REPLACE('予定・実績管理 全児童-2025年6月'!E9,17,1,"〇"),MID('予定・実績管理 全児童-2025年6月'!E9,LEN('予定・実績管理 全児童-2025年6月'!E9)-1,1),"〇"),"")</f>
        <v>16:00-17:40 [放] 〇村 〇人</v>
      </c>
      <c r="F9" s="13" t="str">
        <f>IF('予定・実績管理 全児童-2025年6月'!F9&lt;&gt;"",SUBSTITUTE(REPLACE('予定・実績管理 全児童-2025年6月'!F9,17,1,"〇"),MID('予定・実績管理 全児童-2025年6月'!F9,LEN('予定・実績管理 全児童-2025年6月'!F9)-1,1),"〇"),"")</f>
        <v>16:00-17:40〇[放]〇〇井〇翔</v>
      </c>
      <c r="G9" s="13" t="str">
        <f>IF('予定・実績管理 全児童-2025年6月'!G9&lt;&gt;"",SUBSTITUTE(REPLACE('予定・実績管理 全児童-2025年6月'!G9,17,1,"〇"),MID('予定・実績管理 全児童-2025年6月'!G9,LEN('予定・実績管理 全児童-2025年6月'!G9)-1,1),"〇"),"")</f>
        <v>13:00-14:40 [放] 〇本 〇翔</v>
      </c>
    </row>
    <row r="10" spans="1:7" ht="38.1" customHeight="1">
      <c r="A10" s="13"/>
      <c r="B10" s="13" t="str">
        <f>IF('予定・実績管理 全児童-2025年6月'!B10&lt;&gt;"",SUBSTITUTE(REPLACE('予定・実績管理 全児童-2025年6月'!B10,17,1,"〇"),MID('予定・実績管理 全児童-2025年6月'!B10,LEN('予定・実績管理 全児童-2025年6月'!B10)-1,1),"〇"),"")</f>
        <v>16:00-17:40 [放] 〇木 〇吾</v>
      </c>
      <c r="C10" s="13" t="str">
        <f>IF('予定・実績管理 全児童-2025年6月'!C10&lt;&gt;"",SUBSTITUTE(REPLACE('予定・実績管理 全児童-2025年6月'!C10,17,1,"〇"),MID('予定・実績管理 全児童-2025年6月'!C10,LEN('予定・実績管理 全児童-2025年6月'!C10)-1,1),"〇"),"")</f>
        <v>16:00-17:40 [放] 〇下 〇日</v>
      </c>
      <c r="D10" s="13" t="str">
        <f>IF('予定・実績管理 全児童-2025年6月'!D10&lt;&gt;"",SUBSTITUTE(REPLACE('予定・実績管理 全児童-2025年6月'!D10,17,1,"〇"),MID('予定・実績管理 全児童-2025年6月'!D10,LEN('予定・実績管理 全児童-2025年6月'!D10)-1,1),"〇"),"")</f>
        <v>17:45-19:25 [放] 〇斐 〇惺</v>
      </c>
      <c r="E10" s="13" t="str">
        <f>IF('予定・実績管理 全児童-2025年6月'!E10&lt;&gt;"",SUBSTITUTE(REPLACE('予定・実績管理 全児童-2025年6月'!E10,17,1,"〇"),MID('予定・実績管理 全児童-2025年6月'!E10,LEN('予定・実績管理 全児童-2025年6月'!E10)-1,1),"〇"),"")</f>
        <v>17:45-19:25 [放] 〇藤 〇人</v>
      </c>
      <c r="F10" s="13" t="str">
        <f>IF('予定・実績管理 全児童-2025年6月'!F10&lt;&gt;"",SUBSTITUTE(REPLACE('予定・実績管理 全児童-2025年6月'!F10,17,1,"〇"),MID('予定・実績管理 全児童-2025年6月'!F10,LEN('予定・実績管理 全児童-2025年6月'!F10)-1,1),"〇"),"")</f>
        <v>16:00-17:40 [放] 〇部 〇侑</v>
      </c>
      <c r="G10" s="13" t="str">
        <f>IF('予定・実績管理 全児童-2025年6月'!G10&lt;&gt;"",SUBSTITUTE(REPLACE('予定・実績管理 全児童-2025年6月'!G10,17,1,"〇"),MID('予定・実績管理 全児童-2025年6月'!G10,LEN('予定・実績管理 全児童-2025年6月'!G10)-1,1),"〇"),"")</f>
        <v>13:00-14:40 [放] 〇本 〇希</v>
      </c>
    </row>
    <row r="11" spans="1:7" ht="38.1" customHeight="1">
      <c r="A11" s="13"/>
      <c r="B11" s="13" t="str">
        <f>IF('予定・実績管理 全児童-2025年6月'!B11&lt;&gt;"",SUBSTITUTE(REPLACE('予定・実績管理 全児童-2025年6月'!B11,17,1,"〇"),MID('予定・実績管理 全児童-2025年6月'!B11,LEN('予定・実績管理 全児童-2025年6月'!B11)-1,1),"〇"),"")</f>
        <v>17:45-19:25 [放] 〇藤 実〇里</v>
      </c>
      <c r="C11" s="13" t="str">
        <f>IF('予定・実績管理 全児童-2025年6月'!C11&lt;&gt;"",SUBSTITUTE(REPLACE('予定・実績管理 全児童-2025年6月'!C11,17,1,"〇"),MID('予定・実績管理 全児童-2025年6月'!C11,LEN('予定・実績管理 全児童-2025年6月'!C11)-1,1),"〇"),"")</f>
        <v>17:45-19:25 [放] 〇倉 〇来</v>
      </c>
      <c r="D11" s="13" t="str">
        <f>IF('予定・実績管理 全児童-2025年6月'!D11&lt;&gt;"",SUBSTITUTE(REPLACE('予定・実績管理 全児童-2025年6月'!D11,17,1,"〇"),MID('予定・実績管理 全児童-2025年6月'!D11,LEN('予定・実績管理 全児童-2025年6月'!D11)-1,1),"〇"),"")</f>
        <v>17:45-19:25〇[放]〇〇口〇岳</v>
      </c>
      <c r="E11" s="13" t="str">
        <f>IF('予定・実績管理 全児童-2025年6月'!E11&lt;&gt;"",SUBSTITUTE(REPLACE('予定・実績管理 全児童-2025年6月'!E11,17,1,"〇"),MID('予定・実績管理 全児童-2025年6月'!E11,LEN('予定・実績管理 全児童-2025年6月'!E11)-1,1),"〇"),"")</f>
        <v>17:45-19:25 [放] 〇藤 〇人</v>
      </c>
      <c r="F11" s="13" t="str">
        <f>IF('予定・実績管理 全児童-2025年6月'!F11&lt;&gt;"",SUBSTITUTE(REPLACE('予定・実績管理 全児童-2025年6月'!F11,17,1,"〇"),MID('予定・実績管理 全児童-2025年6月'!F11,LEN('予定・実績管理 全児童-2025年6月'!F11)-1,1),"〇"),"")</f>
        <v>17:45-19:25 [放] 〇本 〇哉</v>
      </c>
      <c r="G11" s="13" t="str">
        <f>IF('予定・実績管理 全児童-2025年6月'!G11&lt;&gt;"",SUBSTITUTE(REPLACE('予定・実績管理 全児童-2025年6月'!G11,17,1,"〇"),MID('予定・実績管理 全児童-2025年6月'!G11,LEN('予定・実績管理 全児童-2025年6月'!G11)-1,1),"〇"),"")</f>
        <v>13:00-14:40 [放] 〇之内 〇樹</v>
      </c>
    </row>
    <row r="12" spans="1:7" ht="38.1" customHeight="1">
      <c r="A12" s="13"/>
      <c r="B12" s="13" t="str">
        <f>IF('予定・実績管理 全児童-2025年6月'!B12&lt;&gt;"",SUBSTITUTE(REPLACE('予定・実績管理 全児童-2025年6月'!B12,17,1,"〇"),MID('予定・実績管理 全児童-2025年6月'!B12,LEN('予定・実績管理 全児童-2025年6月'!B12)-1,1),"〇"),"")</f>
        <v>17:45-19:25 [放] 〇 〇樹</v>
      </c>
      <c r="C12" s="13" t="str">
        <f>IF('予定・実績管理 全児童-2025年6月'!C12&lt;&gt;"",SUBSTITUTE(REPLACE('予定・実績管理 全児童-2025年6月'!C12,17,1,"〇"),MID('予定・実績管理 全児童-2025年6月'!C12,LEN('予定・実績管理 全児童-2025年6月'!C12)-1,1),"〇"),"")</f>
        <v>17:45-19:25 [放] 〇斐 希〇花</v>
      </c>
      <c r="D12" s="13" t="str">
        <f>IF('予定・実績管理 全児童-2025年6月'!D12&lt;&gt;"",SUBSTITUTE(REPLACE('予定・実績管理 全児童-2025年6月'!D12,17,1,"〇"),MID('予定・実績管理 全児童-2025年6月'!D12,LEN('予定・実績管理 全児童-2025年6月'!D12)-1,1),"〇"),"")</f>
        <v>17:45-19:25 [放] 〇農 〇芽</v>
      </c>
      <c r="E12" s="13" t="str">
        <f>IF('予定・実績管理 全児童-2025年6月'!E12&lt;&gt;"",SUBSTITUTE(REPLACE('予定・実績管理 全児童-2025年6月'!E12,17,1,"〇"),MID('予定・実績管理 全児童-2025年6月'!E12,LEN('予定・実績管理 全児童-2025年6月'!E12)-1,1),"〇"),"")</f>
        <v>17:45-19:25 [放] 〇本 〇真</v>
      </c>
      <c r="F12" s="13" t="str">
        <f>IF('予定・実績管理 全児童-2025年6月'!F12&lt;&gt;"",SUBSTITUTE(REPLACE('予定・実績管理 全児童-2025年6月'!F12,17,1,"〇"),MID('予定・実績管理 全児童-2025年6月'!F12,LEN('予定・実績管理 全児童-2025年6月'!F12)-1,1),"〇"),"")</f>
        <v>17:45-19:25 [放] 〇山 〇弥</v>
      </c>
      <c r="G12" s="13" t="str">
        <f>IF('予定・実績管理 全児童-2025年6月'!G12&lt;&gt;"",SUBSTITUTE(REPLACE('予定・実績管理 全児童-2025年6月'!G12,17,1,"〇"),MID('予定・実績管理 全児童-2025年6月'!G12,LEN('予定・実績管理 全児童-2025年6月'!G12)-1,1),"〇"),"")</f>
        <v>15:00-16:40 [放] 〇藤 〇斗</v>
      </c>
    </row>
    <row r="13" spans="1:7" ht="38.1" customHeight="1">
      <c r="A13" s="13"/>
      <c r="B13" s="13" t="str">
        <f>IF('予定・実績管理 全児童-2025年6月'!B13&lt;&gt;"",SUBSTITUTE(REPLACE('予定・実績管理 全児童-2025年6月'!B13,17,1,"〇"),MID('予定・実績管理 全児童-2025年6月'!B13,LEN('予定・実績管理 全児童-2025年6月'!B13)-1,1),"〇"),"")</f>
        <v>17:45-19:25 [放] 〇斐 〇惺</v>
      </c>
      <c r="C13" s="13" t="str">
        <f>IF('予定・実績管理 全児童-2025年6月'!C13&lt;&gt;"",SUBSTITUTE(REPLACE('予定・実績管理 全児童-2025年6月'!C13,17,1,"〇"),MID('予定・実績管理 全児童-2025年6月'!C13,LEN('予定・実績管理 全児童-2025年6月'!C13)-1,1),"〇"),"")</f>
        <v>17:45-19:25 [放] 〇斐 〇惺</v>
      </c>
      <c r="D13" s="13" t="str">
        <f>IF('予定・実績管理 全児童-2025年6月'!D13&lt;&gt;"",SUBSTITUTE(REPLACE('予定・実績管理 全児童-2025年6月'!D13,17,1,"〇"),MID('予定・実績管理 全児童-2025年6月'!D13,LEN('予定・実績管理 全児童-2025年6月'!D13)-1,1),"〇"),"")</f>
        <v>17:45-19:25〇[放]〇〇人〇禄</v>
      </c>
      <c r="E13" s="13" t="str">
        <f>IF('予定・実績管理 全児童-2025年6月'!E13&lt;&gt;"",SUBSTITUTE(REPLACE('予定・実績管理 全児童-2025年6月'!E13,17,1,"〇"),MID('予定・実績管理 全児童-2025年6月'!E13,LEN('予定・実績管理 全児童-2025年6月'!E13)-1,1),"〇"),"")</f>
        <v>17:45-19:25 [放] 〇蔵原 〇大</v>
      </c>
      <c r="F13" s="13" t="str">
        <f>IF('予定・実績管理 全児童-2025年6月'!F13&lt;&gt;"",SUBSTITUTE(REPLACE('予定・実績管理 全児童-2025年6月'!F13,17,1,"〇"),MID('予定・実績管理 全児童-2025年6月'!F13,LEN('予定・実績管理 全児童-2025年6月'!F13)-1,1),"〇"),"")</f>
        <v>17:45-19:25 [放] 〇山 〇翔</v>
      </c>
      <c r="G13" s="13" t="str">
        <f>IF('予定・実績管理 全児童-2025年6月'!G13&lt;&gt;"",SUBSTITUTE(REPLACE('予定・実績管理 全児童-2025年6月'!G13,17,1,"〇"),MID('予定・実績管理 全児童-2025年6月'!G13,LEN('予定・実績管理 全児童-2025年6月'!G13)-1,1),"〇"),"")</f>
        <v>15:00-16:40 [放] 〇路 〇夢</v>
      </c>
    </row>
    <row r="14" spans="1:7" ht="38.1" customHeight="1">
      <c r="A14" s="13"/>
      <c r="B14" s="13" t="str">
        <f>IF('予定・実績管理 全児童-2025年6月'!B14&lt;&gt;"",SUBSTITUTE(REPLACE('予定・実績管理 全児童-2025年6月'!B14,17,1,"〇"),MID('予定・実績管理 全児童-2025年6月'!B14,LEN('予定・実績管理 全児童-2025年6月'!B14)-1,1),"〇"),"")</f>
        <v>17:45-19:25 [放] 〇西 〇生</v>
      </c>
      <c r="C14" s="13" t="str">
        <f>IF('予定・実績管理 全児童-2025年6月'!C14&lt;&gt;"",SUBSTITUTE(REPLACE('予定・実績管理 全児童-2025年6月'!C14,17,1,"〇"),MID('予定・実績管理 全児童-2025年6月'!C14,LEN('予定・実績管理 全児童-2025年6月'!C14)-1,1),"〇"),"")</f>
        <v>17:45-19:25〇[放]〇〇迫〇紡</v>
      </c>
      <c r="D14" s="13" t="str">
        <f>IF('予定・実績管理 全児童-2025年6月'!D14&lt;&gt;"",SUBSTITUTE(REPLACE('予定・実績管理 全児童-2025年6月'!D14,17,1,"〇"),MID('予定・実績管理 全児童-2025年6月'!D14,LEN('予定・実績管理 全児童-2025年6月'!D14)-1,1),"〇"),"")</f>
        <v>17:45-19:25 [放] 〇田 〇音</v>
      </c>
      <c r="E14" s="13" t="str">
        <f>IF('予定・実績管理 全児童-2025年6月'!E14&lt;&gt;"",SUBSTITUTE(REPLACE('予定・実績管理 全児童-2025年6月'!E14,17,1,"〇"),MID('予定・実績管理 全児童-2025年6月'!E14,LEN('予定・実績管理 全児童-2025年6月'!E14)-1,1),"〇"),"")</f>
        <v>17:45-19:25 [放] 〇藤 〇祐</v>
      </c>
      <c r="F14" s="13" t="str">
        <f>IF('予定・実績管理 全児童-2025年6月'!F14&lt;&gt;"",SUBSTITUTE(REPLACE('予定・実績管理 全児童-2025年6月'!F14,17,1,"〇"),MID('予定・実績管理 全児童-2025年6月'!F14,LEN('予定・実績管理 全児童-2025年6月'!F14)-1,1),"〇"),"")</f>
        <v>17:45-19:25 [放] 〇田 〇希</v>
      </c>
      <c r="G14" s="13" t="str">
        <f>IF('予定・実績管理 全児童-2025年6月'!G14&lt;&gt;"",SUBSTITUTE(REPLACE('予定・実績管理 全児童-2025年6月'!G14,17,1,"〇"),MID('予定・実績管理 全児童-2025年6月'!G14,LEN('予定・実績管理 全児童-2025年6月'!G14)-1,1),"〇"),"")</f>
        <v>15:00-16:40 [放] 〇山 〇渡</v>
      </c>
    </row>
    <row r="15" spans="1:7" ht="38.1" customHeight="1">
      <c r="A15" s="13"/>
      <c r="B15" s="13" t="str">
        <f>IF('予定・実績管理 全児童-2025年6月'!B15&lt;&gt;"",SUBSTITUTE(REPLACE('予定・実績管理 全児童-2025年6月'!B15,17,1,"〇"),MID('予定・実績管理 全児童-2025年6月'!B15,LEN('予定・実績管理 全児童-2025年6月'!B15)-1,1),"〇"),"")</f>
        <v>17:45-19:25 [放] 〇岡 〇太</v>
      </c>
      <c r="C15" s="13" t="str">
        <f>IF('予定・実績管理 全児童-2025年6月'!C15&lt;&gt;"",SUBSTITUTE(REPLACE('予定・実績管理 全児童-2025年6月'!C15,17,1,"〇"),MID('予定・実績管理 全児童-2025年6月'!C15,LEN('予定・実績管理 全児童-2025年6月'!C15)-1,1),"〇"),"")</f>
        <v>17:45-19:25 [放] 〇浦 〇貴</v>
      </c>
      <c r="D15" s="13" t="str">
        <f>IF('予定・実績管理 全児童-2025年6月'!D15&lt;&gt;"",SUBSTITUTE(REPLACE('予定・実績管理 全児童-2025年6月'!D15,17,1,"〇"),MID('予定・実績管理 全児童-2025年6月'!D15,LEN('予定・実績管理 全児童-2025年6月'!D15)-1,1),"〇"),"")</f>
        <v>17:45-19:25 [放] 〇口 〇己</v>
      </c>
      <c r="E15" s="13" t="str">
        <f>IF('予定・実績管理 全児童-2025年6月'!E15&lt;&gt;"",SUBSTITUTE(REPLACE('予定・実績管理 全児童-2025年6月'!E15,17,1,"〇"),MID('予定・実績管理 全児童-2025年6月'!E15,LEN('予定・実績管理 全児童-2025年6月'!E15)-1,1),"〇"),"")</f>
        <v>17:45-19:25 [放] 〇田 〇音</v>
      </c>
      <c r="F15" s="13" t="str">
        <f>IF('予定・実績管理 全児童-2025年6月'!F15&lt;&gt;"",SUBSTITUTE(REPLACE('予定・実績管理 全児童-2025年6月'!F15,17,1,"〇"),MID('予定・実績管理 全児童-2025年6月'!F15,LEN('予定・実績管理 全児童-2025年6月'!F15)-1,1),"〇"),"")</f>
        <v>17:45-19:25〇[放]〇〇水〇悠</v>
      </c>
      <c r="G15" s="13" t="str">
        <f>IF('予定・実績管理 全児童-2025年6月'!G15&lt;&gt;"",SUBSTITUTE(REPLACE('予定・実績管理 全児童-2025年6月'!G15,17,1,"〇"),MID('予定・実績管理 全児童-2025年6月'!G15,LEN('予定・実績管理 全児童-2025年6月'!G15)-1,1),"〇"),"")</f>
        <v>15:00-16:40 [放] 〇山 〇美</v>
      </c>
    </row>
    <row r="16" spans="1:7" ht="38.1" customHeight="1">
      <c r="A16" s="13"/>
      <c r="B16" s="13" t="str">
        <f>IF('予定・実績管理 全児童-2025年6月'!B16&lt;&gt;"",SUBSTITUTE(REPLACE('予定・実績管理 全児童-2025年6月'!B16,17,1,"〇"),MID('予定・実績管理 全児童-2025年6月'!B16,LEN('予定・実績管理 全児童-2025年6月'!B16)-1,1),"〇"),"")</f>
        <v>17:45-19:25 [放] 〇 航〇朗</v>
      </c>
      <c r="C16" s="13" t="str">
        <f>IF('予定・実績管理 全児童-2025年6月'!C16&lt;&gt;"",SUBSTITUTE(REPLACE('予定・実績管理 全児童-2025年6月'!C16,17,1,"〇"),MID('予定・実績管理 全児童-2025年6月'!C16,LEN('予定・実績管理 全児童-2025年6月'!C16)-1,1),"〇"),"")</f>
        <v>17:45-19:25 [放] 〇原 〇晴</v>
      </c>
      <c r="D16" s="13" t="str">
        <f>IF('予定・実績管理 全児童-2025年6月'!D16&lt;&gt;"",SUBSTITUTE(REPLACE('予定・実績管理 全児童-2025年6月'!D16,17,1,"〇"),MID('予定・実績管理 全児童-2025年6月'!D16,LEN('予定・実績管理 全児童-2025年6月'!D16)-1,1),"〇"),"")</f>
        <v>17:45-19:25 [放] 〇 〇希</v>
      </c>
      <c r="E16" s="13" t="str">
        <f>IF('予定・実績管理 全児童-2025年6月'!E16&lt;&gt;"",SUBSTITUTE(REPLACE('予定・実績管理 全児童-2025年6月'!E16,17,1,"〇"),MID('予定・実績管理 全児童-2025年6月'!E16,LEN('予定・実績管理 全児童-2025年6月'!E16)-1,1),"〇"),"")</f>
        <v>17:45-19:25 [放] 〇山 紘〇朗</v>
      </c>
      <c r="F16" s="13" t="str">
        <f>IF('予定・実績管理 全児童-2025年6月'!F16&lt;&gt;"",SUBSTITUTE(REPLACE('予定・実績管理 全児童-2025年6月'!F16,17,1,"〇"),MID('予定・実績管理 全児童-2025年6月'!F16,LEN('予定・実績管理 全児童-2025年6月'!F16)-1,1),"〇"),"")</f>
        <v>17:45-19:25 [放] 〇野 〇海</v>
      </c>
      <c r="G16" s="13" t="str">
        <f>IF('予定・実績管理 全児童-2025年6月'!G16&lt;&gt;"",SUBSTITUTE(REPLACE('予定・実績管理 全児童-2025年6月'!G16,17,1,"〇"),MID('予定・実績管理 全児童-2025年6月'!G16,LEN('予定・実績管理 全児童-2025年6月'!G16)-1,1),"〇"),"")</f>
        <v/>
      </c>
    </row>
    <row r="17" spans="1:7" ht="38.1" customHeight="1">
      <c r="A17" s="13"/>
      <c r="B17" s="13" t="str">
        <f>IF('予定・実績管理 全児童-2025年6月'!B17&lt;&gt;"",SUBSTITUTE(REPLACE('予定・実績管理 全児童-2025年6月'!B17,17,1,"〇"),MID('予定・実績管理 全児童-2025年6月'!B17,LEN('予定・実績管理 全児童-2025年6月'!B17)-1,1),"〇"),"")</f>
        <v/>
      </c>
      <c r="C17" s="13" t="str">
        <f>IF('予定・実績管理 全児童-2025年6月'!C17&lt;&gt;"",SUBSTITUTE(REPLACE('予定・実績管理 全児童-2025年6月'!C17,17,1,"〇"),MID('予定・実績管理 全児童-2025年6月'!C17,LEN('予定・実績管理 全児童-2025年6月'!C17)-1,1),"〇"),"")</f>
        <v>17:45-19:25 [放] 〇井 〇偉</v>
      </c>
      <c r="D17" s="13" t="str">
        <f>IF('予定・実績管理 全児童-2025年6月'!D17&lt;&gt;"",SUBSTITUTE(REPLACE('予定・実績管理 全児童-2025年6月'!D17,17,1,"〇"),MID('予定・実績管理 全児童-2025年6月'!D17,LEN('予定・実績管理 全児童-2025年6月'!D17)-1,1),"〇"),"")</f>
        <v/>
      </c>
      <c r="E17" s="13" t="str">
        <f>IF('予定・実績管理 全児童-2025年6月'!E17&lt;&gt;"",SUBSTITUTE(REPLACE('予定・実績管理 全児童-2025年6月'!E17,17,1,"〇"),MID('予定・実績管理 全児童-2025年6月'!E17,LEN('予定・実績管理 全児童-2025年6月'!E17)-1,1),"〇"),"")</f>
        <v/>
      </c>
      <c r="F17" s="13" t="str">
        <f>IF('予定・実績管理 全児童-2025年6月'!F17&lt;&gt;"",SUBSTITUTE(REPLACE('予定・実績管理 全児童-2025年6月'!F17,17,1,"〇"),MID('予定・実績管理 全児童-2025年6月'!F17,LEN('予定・実績管理 全児童-2025年6月'!F17)-1,1),"〇"),"")</f>
        <v>17:45-19:25 [放] 〇岡 〇希</v>
      </c>
      <c r="G17" s="13" t="str">
        <f>IF('予定・実績管理 全児童-2025年6月'!G17&lt;&gt;"",SUBSTITUTE(REPLACE('予定・実績管理 全児童-2025年6月'!G17,17,1,"〇"),MID('予定・実績管理 全児童-2025年6月'!G17,LEN('予定・実績管理 全児童-2025年6月'!G17)-1,1),"〇"),"")</f>
        <v/>
      </c>
    </row>
    <row r="18" spans="1:7" ht="38.1" customHeight="1">
      <c r="A18" s="13"/>
      <c r="B18" s="13" t="str">
        <f>IF('予定・実績管理 全児童-2025年6月'!B18&lt;&gt;"",SUBSTITUTE(REPLACE('予定・実績管理 全児童-2025年6月'!B18,17,1,"〇"),MID('予定・実績管理 全児童-2025年6月'!B18,LEN('予定・実績管理 全児童-2025年6月'!B18)-1,1),"〇"),"")</f>
        <v/>
      </c>
      <c r="C18" s="13" t="str">
        <f>IF('予定・実績管理 全児童-2025年6月'!C18&lt;&gt;"",SUBSTITUTE(REPLACE('予定・実績管理 全児童-2025年6月'!C18,17,1,"〇"),MID('予定・実績管理 全児童-2025年6月'!C18,LEN('予定・実績管理 全児童-2025年6月'!C18)-1,1),"〇"),"")</f>
        <v>17:45-19:25 [放] 〇尾 〇斗</v>
      </c>
      <c r="D18" s="13" t="str">
        <f>IF('予定・実績管理 全児童-2025年6月'!D18&lt;&gt;"",SUBSTITUTE(REPLACE('予定・実績管理 全児童-2025年6月'!D18,17,1,"〇"),MID('予定・実績管理 全児童-2025年6月'!D18,LEN('予定・実績管理 全児童-2025年6月'!D18)-1,1),"〇"),"")</f>
        <v/>
      </c>
      <c r="E18" s="13" t="str">
        <f>IF('予定・実績管理 全児童-2025年6月'!E18&lt;&gt;"",SUBSTITUTE(REPLACE('予定・実績管理 全児童-2025年6月'!E18,17,1,"〇"),MID('予定・実績管理 全児童-2025年6月'!E18,LEN('予定・実績管理 全児童-2025年6月'!E18)-1,1),"〇"),"")</f>
        <v/>
      </c>
      <c r="F18" s="13" t="str">
        <f>IF('予定・実績管理 全児童-2025年6月'!F18&lt;&gt;"",SUBSTITUTE(REPLACE('予定・実績管理 全児童-2025年6月'!F18,17,1,"〇"),MID('予定・実績管理 全児童-2025年6月'!F18,LEN('予定・実績管理 全児童-2025年6月'!F18)-1,1),"〇"),"")</f>
        <v>17:45-19:25〇[放]〇〇岡〇雫</v>
      </c>
      <c r="G18" s="13" t="str">
        <f>IF('予定・実績管理 全児童-2025年6月'!G18&lt;&gt;"",SUBSTITUTE(REPLACE('予定・実績管理 全児童-2025年6月'!G18,17,1,"〇"),MID('予定・実績管理 全児童-2025年6月'!G18,LEN('予定・実績管理 全児童-2025年6月'!G18)-1,1),"〇"),"")</f>
        <v/>
      </c>
    </row>
    <row r="19" spans="1:7" ht="75.95" customHeight="1">
      <c r="A19" s="14"/>
      <c r="B19" s="13" t="str">
        <f>IF('予定・実績管理 全児童-2025年6月'!B19&lt;&gt;"",SUBSTITUTE(REPLACE('予定・実績管理 全児童-2025年6月'!B19,17,1,"〇"),MID('予定・実績管理 全児童-2025年6月'!B19,LEN('予定・実績管理 全児童-2025年6月'!B19)-1,1),"〇"),"")</f>
        <v/>
      </c>
      <c r="C19" s="13" t="str">
        <f>IF('予定・実績管理 全児童-2025年6月'!C19&lt;&gt;"",SUBSTITUTE(REPLACE('予定・実績管理 全児童-2025年6月'!C19,17,1,"〇"),MID('予定・実績管理 全児童-2025年6月'!C19,LEN('予定・実績管理 全児童-2025年6月'!C19)-1,1),"〇"),"")</f>
        <v/>
      </c>
      <c r="D19" s="13" t="str">
        <f>IF('予定・実績管理 全児童-2025年6月'!D19&lt;&gt;"",SUBSTITUTE(REPLACE('予定・実績管理 全児童-2025年6月'!D19,17,1,"〇"),MID('予定・実績管理 全児童-2025年6月'!D19,LEN('予定・実績管理 全児童-2025年6月'!D19)-1,1),"〇"),"")</f>
        <v/>
      </c>
      <c r="E19" s="13" t="str">
        <f>IF('予定・実績管理 全児童-2025年6月'!E19&lt;&gt;"",SUBSTITUTE(REPLACE('予定・実績管理 全児童-2025年6月'!E19,17,1,"〇"),MID('予定・実績管理 全児童-2025年6月'!E19,LEN('予定・実績管理 全児童-2025年6月'!E19)-1,1),"〇"),"")</f>
        <v/>
      </c>
      <c r="F19" s="13" t="str">
        <f>IF('予定・実績管理 全児童-2025年6月'!F19&lt;&gt;"",SUBSTITUTE(REPLACE('予定・実績管理 全児童-2025年6月'!F19,17,1,"〇"),MID('予定・実績管理 全児童-2025年6月'!F19,LEN('予定・実績管理 全児童-2025年6月'!F19)-1,1),"〇"),"")</f>
        <v/>
      </c>
      <c r="G19" s="13" t="str">
        <f>IF('予定・実績管理 全児童-2025年6月'!G19&lt;&gt;"",SUBSTITUTE(REPLACE('予定・実績管理 全児童-2025年6月'!G19,17,1,"〇"),MID('予定・実績管理 全児童-2025年6月'!G19,LEN('予定・実績管理 全児童-2025年6月'!G19)-1,1),"〇"),"")</f>
        <v/>
      </c>
    </row>
    <row r="20" spans="1:7" ht="30" customHeight="1">
      <c r="A20" s="12">
        <v>8</v>
      </c>
      <c r="B20" s="12">
        <v>9</v>
      </c>
      <c r="C20" s="12">
        <v>10</v>
      </c>
      <c r="D20" s="12">
        <v>11</v>
      </c>
      <c r="E20" s="12">
        <v>12</v>
      </c>
      <c r="F20" s="12">
        <v>13</v>
      </c>
      <c r="G20" s="12">
        <v>14</v>
      </c>
    </row>
    <row r="21" spans="1:7" ht="38.1" customHeight="1">
      <c r="A21" s="13"/>
      <c r="B21" s="13" t="str">
        <f>IF('予定・実績管理 全児童-2025年6月'!B21&lt;&gt;"",SUBSTITUTE(REPLACE('予定・実績管理 全児童-2025年6月'!B21,17,1,"〇"),MID('予定・実績管理 全児童-2025年6月'!B21,LEN('予定・実績管理 全児童-2025年6月'!B21)-1,1),"〇"),"")</f>
        <v>16:00-17:40 [放] 〇浦 峻〇朗</v>
      </c>
      <c r="C21" s="13" t="str">
        <f>IF('予定・実績管理 全児童-2025年6月'!C21&lt;&gt;"",SUBSTITUTE(REPLACE('予定・実績管理 全児童-2025年6月'!C21,17,1,"〇"),MID('予定・実績管理 全児童-2025年6月'!C21,LEN('予定・実績管理 全児童-2025年6月'!C21)-1,1),"〇"),"")</f>
        <v>14:20-16:00 [放] 〇矢 〇穂</v>
      </c>
      <c r="D21" s="13" t="str">
        <f>IF('予定・実績管理 全児童-2025年6月'!D21&lt;&gt;"",SUBSTITUTE(REPLACE('予定・実績管理 全児童-2025年6月'!D21,17,1,"〇"),MID('予定・実績管理 全児童-2025年6月'!D21,LEN('予定・実績管理 全児童-2025年6月'!D21)-1,1),"〇"),"")</f>
        <v>14:00-15:40 [放] 〇矢 〇穂</v>
      </c>
      <c r="E21" s="13" t="str">
        <f>IF('予定・実績管理 全児童-2025年6月'!E21&lt;&gt;"",SUBSTITUTE(REPLACE('予定・実績管理 全児童-2025年6月'!E21,17,1,"〇"),MID('予定・実績管理 全児童-2025年6月'!E21,LEN('予定・実績管理 全児童-2025年6月'!E21)-1,1),"〇"),"")</f>
        <v>14:20-16:00 [放] 〇村 〇花</v>
      </c>
      <c r="F21" s="13" t="str">
        <f>IF('予定・実績管理 全児童-2025年6月'!F21&lt;&gt;"",SUBSTITUTE(REPLACE('予定・実績管理 全児童-2025年6月'!F21,17,1,"〇"),MID('予定・実績管理 全児童-2025年6月'!F21,LEN('予定・実績管理 全児童-2025年6月'!F21)-1,1),"〇"),"")</f>
        <v>16:00-17:40 [放] 〇本 〇真</v>
      </c>
      <c r="G21" s="13" t="str">
        <f>IF('予定・実績管理 全児童-2025年6月'!G21&lt;&gt;"",SUBSTITUTE(REPLACE('予定・実績管理 全児童-2025年6月'!G21,17,1,"〇"),MID('予定・実績管理 全児童-2025年6月'!G21,LEN('予定・実績管理 全児童-2025年6月'!G21)-1,1),"〇"),"")</f>
        <v>10:15-11:55 [放] 〇柳 〇輝</v>
      </c>
    </row>
    <row r="22" spans="1:7" ht="38.1" customHeight="1">
      <c r="A22" s="13"/>
      <c r="B22" s="13" t="str">
        <f>IF('予定・実績管理 全児童-2025年6月'!B22&lt;&gt;"",SUBSTITUTE(REPLACE('予定・実績管理 全児童-2025年6月'!B22,17,1,"〇"),MID('予定・実績管理 全児童-2025年6月'!B22,LEN('予定・実績管理 全児童-2025年6月'!B22)-1,1),"〇"),"")</f>
        <v>16:00-17:40 [放] 〇本 〇成</v>
      </c>
      <c r="C22" s="13" t="str">
        <f>IF('予定・実績管理 全児童-2025年6月'!C22&lt;&gt;"",SUBSTITUTE(REPLACE('予定・実績管理 全児童-2025年6月'!C22,17,1,"〇"),MID('予定・実績管理 全児童-2025年6月'!C22,LEN('予定・実績管理 全児童-2025年6月'!C22)-1,1),"〇"),"")</f>
        <v>16:00-17:40 [放] 〇野 〇悟</v>
      </c>
      <c r="D22" s="13" t="str">
        <f>IF('予定・実績管理 全児童-2025年6月'!D22&lt;&gt;"",SUBSTITUTE(REPLACE('予定・実績管理 全児童-2025年6月'!D22,17,1,"〇"),MID('予定・実績管理 全児童-2025年6月'!D22,LEN('予定・実績管理 全児童-2025年6月'!D22)-1,1),"〇"),"")</f>
        <v>16:00-17:40〇[放]〇〇笠原〇駿</v>
      </c>
      <c r="E22" s="13" t="str">
        <f>IF('予定・実績管理 全児童-2025年6月'!E22&lt;&gt;"",SUBSTITUTE(REPLACE('予定・実績管理 全児童-2025年6月'!E22,17,1,"〇"),MID('予定・実績管理 全児童-2025年6月'!E22,LEN('予定・実績管理 全児童-2025年6月'!E22)-1,1),"〇"),"")</f>
        <v>14:30-16:00〇[放]〇〇野〇晴</v>
      </c>
      <c r="F22" s="13" t="str">
        <f>IF('予定・実績管理 全児童-2025年6月'!F22&lt;&gt;"",SUBSTITUTE(REPLACE('予定・実績管理 全児童-2025年6月'!F22,17,1,"〇"),MID('予定・実績管理 全児童-2025年6月'!F22,LEN('予定・実績管理 全児童-2025年6月'!F22)-1,1),"〇"),"")</f>
        <v>16:00-17:40 [放] 〇村 〇道</v>
      </c>
      <c r="G22" s="13" t="str">
        <f>IF('予定・実績管理 全児童-2025年6月'!G22&lt;&gt;"",SUBSTITUTE(REPLACE('予定・実績管理 全児童-2025年6月'!G22,17,1,"〇"),MID('予定・実績管理 全児童-2025年6月'!G22,LEN('予定・実績管理 全児童-2025年6月'!G22)-1,1),"〇"),"")</f>
        <v>10:15-11:55 [放] 〇元 〇太</v>
      </c>
    </row>
    <row r="23" spans="1:7" ht="38.1" customHeight="1">
      <c r="A23" s="13"/>
      <c r="B23" s="13" t="str">
        <f>IF('予定・実績管理 全児童-2025年6月'!B23&lt;&gt;"",SUBSTITUTE(REPLACE('予定・実績管理 全児童-2025年6月'!B23,17,1,"〇"),MID('予定・実績管理 全児童-2025年6月'!B23,LEN('予定・実績管理 全児童-2025年6月'!B23)-1,1),"〇"),"")</f>
        <v>16:00-17:40 [放] 〇上 〇太</v>
      </c>
      <c r="C23" s="13" t="str">
        <f>IF('予定・実績管理 全児童-2025年6月'!C23&lt;&gt;"",SUBSTITUTE(REPLACE('予定・実績管理 全児童-2025年6月'!C23,17,1,"〇"),MID('予定・実績管理 全児童-2025年6月'!C23,LEN('予定・実績管理 全児童-2025年6月'!C23)-1,1),"〇"),"")</f>
        <v>16:00-17:40 [放] 〇田 〇世</v>
      </c>
      <c r="D23" s="13" t="str">
        <f>IF('予定・実績管理 全児童-2025年6月'!D23&lt;&gt;"",SUBSTITUTE(REPLACE('予定・実績管理 全児童-2025年6月'!D23,17,1,"〇"),MID('予定・実績管理 全児童-2025年6月'!D23,LEN('予定・実績管理 全児童-2025年6月'!D23)-1,1),"〇"),"")</f>
        <v>16:00-17:40 [放] 〇本 〇佑</v>
      </c>
      <c r="E23" s="13" t="str">
        <f>IF('予定・実績管理 全児童-2025年6月'!E23&lt;&gt;"",SUBSTITUTE(REPLACE('予定・実績管理 全児童-2025年6月'!E23,17,1,"〇"),MID('予定・実績管理 全児童-2025年6月'!E23,LEN('予定・実績管理 全児童-2025年6月'!E23)-1,1),"〇"),"")</f>
        <v>14:30-17:40 [放] 〇上 〇太</v>
      </c>
      <c r="F23" s="13" t="str">
        <f>IF('予定・実績管理 全児童-2025年6月'!F23&lt;&gt;"",SUBSTITUTE(REPLACE('予定・実績管理 全児童-2025年6月'!F23,17,1,"〇"),MID('予定・実績管理 全児童-2025年6月'!F23,LEN('予定・実績管理 全児童-2025年6月'!F23)-1,1),"〇"),"")</f>
        <v>16:00-17:40 [放] 〇田 〇生</v>
      </c>
      <c r="G23" s="13" t="str">
        <f>IF('予定・実績管理 全児童-2025年6月'!G23&lt;&gt;"",SUBSTITUTE(REPLACE('予定・実績管理 全児童-2025年6月'!G23,17,1,"〇"),MID('予定・実績管理 全児童-2025年6月'!G23,LEN('予定・実績管理 全児童-2025年6月'!G23)-1,1),"〇"),"")</f>
        <v>10:15-11:55 [放] 〇田 〇生</v>
      </c>
    </row>
    <row r="24" spans="1:7" ht="38.1" customHeight="1">
      <c r="A24" s="13"/>
      <c r="B24" s="13" t="str">
        <f>IF('予定・実績管理 全児童-2025年6月'!B24&lt;&gt;"",SUBSTITUTE(REPLACE('予定・実績管理 全児童-2025年6月'!B24,17,1,"〇"),MID('予定・実績管理 全児童-2025年6月'!B24,LEN('予定・実績管理 全児童-2025年6月'!B24)-1,1),"〇"),"")</f>
        <v>16:00-17:40 [放] 〇野 〇輝</v>
      </c>
      <c r="C24" s="13" t="str">
        <f>IF('予定・実績管理 全児童-2025年6月'!C24&lt;&gt;"",SUBSTITUTE(REPLACE('予定・実績管理 全児童-2025年6月'!C24,17,1,"〇"),MID('予定・実績管理 全児童-2025年6月'!C24,LEN('予定・実績管理 全児童-2025年6月'!C24)-1,1),"〇"),"")</f>
        <v>16:00-17:40 [放] 〇原 蒼〇朗</v>
      </c>
      <c r="D24" s="13" t="str">
        <f>IF('予定・実績管理 全児童-2025年6月'!D24&lt;&gt;"",SUBSTITUTE(REPLACE('予定・実績管理 全児童-2025年6月'!D24,17,1,"〇"),MID('予定・実績管理 全児童-2025年6月'!D24,LEN('予定・実績管理 全児童-2025年6月'!D24)-1,1),"〇"),"")</f>
        <v>16:00-17:40 [放] 〇井 〇郁</v>
      </c>
      <c r="E24" s="13" t="str">
        <f>IF('予定・実績管理 全児童-2025年6月'!E24&lt;&gt;"",SUBSTITUTE(REPLACE('予定・実績管理 全児童-2025年6月'!E24,17,1,"〇"),MID('予定・実績管理 全児童-2025年6月'!E24,LEN('予定・実績管理 全児童-2025年6月'!E24)-1,1),"〇"),"")</f>
        <v>16:00-17:40 [放] 〇田 〇翔</v>
      </c>
      <c r="F24" s="13" t="str">
        <f>IF('予定・実績管理 全児童-2025年6月'!F24&lt;&gt;"",SUBSTITUTE(REPLACE('予定・実績管理 全児童-2025年6月'!F24,17,1,"〇"),MID('予定・実績管理 全児童-2025年6月'!F24,LEN('予定・実績管理 全児童-2025年6月'!F24)-1,1),"〇"),"")</f>
        <v>16:00-17:40 [放] 〇井 〇郁</v>
      </c>
      <c r="G24" s="13" t="str">
        <f>IF('予定・実績管理 全児童-2025年6月'!G24&lt;&gt;"",SUBSTITUTE(REPLACE('予定・実績管理 全児童-2025年6月'!G24,17,1,"〇"),MID('予定・実績管理 全児童-2025年6月'!G24,LEN('予定・実績管理 全児童-2025年6月'!G24)-1,1),"〇"),"")</f>
        <v>10:15-11:55 [放] 〇田 〇音</v>
      </c>
    </row>
    <row r="25" spans="1:7" ht="38.1" customHeight="1">
      <c r="A25" s="13"/>
      <c r="B25" s="13" t="str">
        <f>IF('予定・実績管理 全児童-2025年6月'!B25&lt;&gt;"",SUBSTITUTE(REPLACE('予定・実績管理 全児童-2025年6月'!B25,17,1,"〇"),MID('予定・実績管理 全児童-2025年6月'!B25,LEN('予定・実績管理 全児童-2025年6月'!B25)-1,1),"〇"),"")</f>
        <v>16:00-17:40 [放] 〇木 〇吾</v>
      </c>
      <c r="C25" s="13" t="str">
        <f>IF('予定・実績管理 全児童-2025年6月'!C25&lt;&gt;"",SUBSTITUTE(REPLACE('予定・実績管理 全児童-2025年6月'!C25,17,1,"〇"),MID('予定・実績管理 全児童-2025年6月'!C25,LEN('予定・実績管理 全児童-2025年6月'!C25)-1,1),"〇"),"")</f>
        <v>16:00-17:40 [放] 〇西 〇偉</v>
      </c>
      <c r="D25" s="13" t="str">
        <f>IF('予定・実績管理 全児童-2025年6月'!D25&lt;&gt;"",SUBSTITUTE(REPLACE('予定・実績管理 全児童-2025年6月'!D25,17,1,"〇"),MID('予定・実績管理 全児童-2025年6月'!D25,LEN('予定・実績管理 全児童-2025年6月'!D25)-1,1),"〇"),"")</f>
        <v>16:00-17:40〇[放]〇〇本〇聖</v>
      </c>
      <c r="E25" s="13" t="str">
        <f>IF('予定・実績管理 全児童-2025年6月'!E25&lt;&gt;"",SUBSTITUTE(REPLACE('予定・実績管理 全児童-2025年6月'!E25,17,1,"〇"),MID('予定・実績管理 全児童-2025年6月'!E25,LEN('予定・実績管理 全児童-2025年6月'!E25)-1,1),"〇"),"")</f>
        <v>16:00-17:40 [放] 〇井 〇弥</v>
      </c>
      <c r="F25" s="13" t="str">
        <f>IF('予定・実績管理 全児童-2025年6月'!F25&lt;&gt;"",SUBSTITUTE(REPLACE('予定・実績管理 全児童-2025年6月'!F25,17,1,"〇"),MID('予定・実績管理 全児童-2025年6月'!F25,LEN('予定・実績管理 全児童-2025年6月'!F25)-1,1),"〇"),"")</f>
        <v>16:00-17:40〇[放]〇〇井〇翼</v>
      </c>
      <c r="G25" s="13" t="str">
        <f>IF('予定・実績管理 全児童-2025年6月'!G25&lt;&gt;"",SUBSTITUTE(REPLACE('予定・実績管理 全児童-2025年6月'!G25,17,1,"〇"),MID('予定・実績管理 全児童-2025年6月'!G25,LEN('予定・実績管理 全児童-2025年6月'!G25)-1,1),"〇"),"")</f>
        <v>10:15-11:55 [放] 〇井 〇磨</v>
      </c>
    </row>
    <row r="26" spans="1:7" ht="38.1" customHeight="1">
      <c r="A26" s="13"/>
      <c r="B26" s="13" t="str">
        <f>IF('予定・実績管理 全児童-2025年6月'!B26&lt;&gt;"",SUBSTITUTE(REPLACE('予定・実績管理 全児童-2025年6月'!B26,17,1,"〇"),MID('予定・実績管理 全児童-2025年6月'!B26,LEN('予定・実績管理 全児童-2025年6月'!B26)-1,1),"〇"),"")</f>
        <v>17:45-19:25 [放] 〇藤 実〇里</v>
      </c>
      <c r="C26" s="13" t="str">
        <f>IF('予定・実績管理 全児童-2025年6月'!C26&lt;&gt;"",SUBSTITUTE(REPLACE('予定・実績管理 全児童-2025年6月'!C26,17,1,"〇"),MID('予定・実績管理 全児童-2025年6月'!C26,LEN('予定・実績管理 全児童-2025年6月'!C26)-1,1),"〇"),"")</f>
        <v>16:00-17:40 [放] 〇仲 〇大</v>
      </c>
      <c r="D26" s="13" t="str">
        <f>IF('予定・実績管理 全児童-2025年6月'!D26&lt;&gt;"",SUBSTITUTE(REPLACE('予定・実績管理 全児童-2025年6月'!D26,17,1,"〇"),MID('予定・実績管理 全児童-2025年6月'!D26,LEN('予定・実績管理 全児童-2025年6月'!D26)-1,1),"〇"),"")</f>
        <v>16:00-17:40〇[放]〇〇崎〇翼</v>
      </c>
      <c r="E26" s="13" t="str">
        <f>IF('予定・実績管理 全児童-2025年6月'!E26&lt;&gt;"",SUBSTITUTE(REPLACE('予定・実績管理 全児童-2025年6月'!E26,17,1,"〇"),MID('予定・実績管理 全児童-2025年6月'!E26,LEN('予定・実績管理 全児童-2025年6月'!E26)-1,1),"〇"),"")</f>
        <v>16:00-17:40 [放] 〇村 〇人</v>
      </c>
      <c r="F26" s="13" t="str">
        <f>IF('予定・実績管理 全児童-2025年6月'!F26&lt;&gt;"",SUBSTITUTE(REPLACE('予定・実績管理 全児童-2025年6月'!F26,17,1,"〇"),MID('予定・実績管理 全児童-2025年6月'!F26,LEN('予定・実績管理 全児童-2025年6月'!F26)-1,1),"〇"),"")</f>
        <v>16:00-17:40〇[放]〇〇井〇翔</v>
      </c>
      <c r="G26" s="13" t="str">
        <f>IF('予定・実績管理 全児童-2025年6月'!G26&lt;&gt;"",SUBSTITUTE(REPLACE('予定・実績管理 全児童-2025年6月'!G26,17,1,"〇"),MID('予定・実績管理 全児童-2025年6月'!G26,LEN('予定・実績管理 全児童-2025年6月'!G26)-1,1),"〇"),"")</f>
        <v>13:00-14:40〇[放]〇〇田〇航</v>
      </c>
    </row>
    <row r="27" spans="1:7" ht="38.1" customHeight="1">
      <c r="A27" s="13"/>
      <c r="B27" s="13" t="str">
        <f>IF('予定・実績管理 全児童-2025年6月'!B27&lt;&gt;"",SUBSTITUTE(REPLACE('予定・実績管理 全児童-2025年6月'!B27,17,1,"〇"),MID('予定・実績管理 全児童-2025年6月'!B27,LEN('予定・実績管理 全児童-2025年6月'!B27)-1,1),"〇"),"")</f>
        <v>17:45-19:25 [放] 〇 〇樹</v>
      </c>
      <c r="C27" s="13" t="str">
        <f>IF('予定・実績管理 全児童-2025年6月'!C27&lt;&gt;"",SUBSTITUTE(REPLACE('予定・実績管理 全児童-2025年6月'!C27,17,1,"〇"),MID('予定・実績管理 全児童-2025年6月'!C27,LEN('予定・実績管理 全児童-2025年6月'!C27)-1,1),"〇"),"")</f>
        <v>16:00-17:40 [放] 〇下 〇日</v>
      </c>
      <c r="D27" s="13" t="str">
        <f>IF('予定・実績管理 全児童-2025年6月'!D27&lt;&gt;"",SUBSTITUTE(REPLACE('予定・実績管理 全児童-2025年6月'!D27,17,1,"〇"),MID('予定・実績管理 全児童-2025年6月'!D27,LEN('予定・実績管理 全児童-2025年6月'!D27)-1,1),"〇"),"")</f>
        <v>16:00-17:40 [放] 〇山 紘〇朗</v>
      </c>
      <c r="E27" s="13" t="str">
        <f>IF('予定・実績管理 全児童-2025年6月'!E27&lt;&gt;"",SUBSTITUTE(REPLACE('予定・実績管理 全児童-2025年6月'!E27,17,1,"〇"),MID('予定・実績管理 全児童-2025年6月'!E27,LEN('予定・実績管理 全児童-2025年6月'!E27)-1,1),"〇"),"")</f>
        <v>17:45-19:25 [放] 〇藤 〇虎</v>
      </c>
      <c r="F27" s="13" t="str">
        <f>IF('予定・実績管理 全児童-2025年6月'!F27&lt;&gt;"",SUBSTITUTE(REPLACE('予定・実績管理 全児童-2025年6月'!F27,17,1,"〇"),MID('予定・実績管理 全児童-2025年6月'!F27,LEN('予定・実績管理 全児童-2025年6月'!F27)-1,1),"〇"),"")</f>
        <v>16:00-17:40 [放] 〇部 〇侑</v>
      </c>
      <c r="G27" s="13" t="str">
        <f>IF('予定・実績管理 全児童-2025年6月'!G27&lt;&gt;"",SUBSTITUTE(REPLACE('予定・実績管理 全児童-2025年6月'!G27,17,1,"〇"),MID('予定・実績管理 全児童-2025年6月'!G27,LEN('予定・実績管理 全児童-2025年6月'!G27)-1,1),"〇"),"")</f>
        <v>13:00-14:40 [放] 〇本 〇翔</v>
      </c>
    </row>
    <row r="28" spans="1:7" ht="38.1" customHeight="1">
      <c r="A28" s="13"/>
      <c r="B28" s="13" t="str">
        <f>IF('予定・実績管理 全児童-2025年6月'!B28&lt;&gt;"",SUBSTITUTE(REPLACE('予定・実績管理 全児童-2025年6月'!B28,17,1,"〇"),MID('予定・実績管理 全児童-2025年6月'!B28,LEN('予定・実績管理 全児童-2025年6月'!B28)-1,1),"〇"),"")</f>
        <v>17:45-19:25 [放] 〇西 〇生</v>
      </c>
      <c r="C28" s="13" t="str">
        <f>IF('予定・実績管理 全児童-2025年6月'!C28&lt;&gt;"",SUBSTITUTE(REPLACE('予定・実績管理 全児童-2025年6月'!C28,17,1,"〇"),MID('予定・実績管理 全児童-2025年6月'!C28,LEN('予定・実績管理 全児童-2025年6月'!C28)-1,1),"〇"),"")</f>
        <v>17:45-19:25 [放] 〇斐 希〇花</v>
      </c>
      <c r="D28" s="13" t="str">
        <f>IF('予定・実績管理 全児童-2025年6月'!D28&lt;&gt;"",SUBSTITUTE(REPLACE('予定・実績管理 全児童-2025年6月'!D28,17,1,"〇"),MID('予定・実績管理 全児童-2025年6月'!D28,LEN('予定・実績管理 全児童-2025年6月'!D28)-1,1),"〇"),"")</f>
        <v>17:45-19:25 [放] 〇上 〇介</v>
      </c>
      <c r="E28" s="13" t="str">
        <f>IF('予定・実績管理 全児童-2025年6月'!E28&lt;&gt;"",SUBSTITUTE(REPLACE('予定・実績管理 全児童-2025年6月'!E28,17,1,"〇"),MID('予定・実績管理 全児童-2025年6月'!E28,LEN('予定・実績管理 全児童-2025年6月'!E28)-1,1),"〇"),"")</f>
        <v>17:45-19:25 [放] 〇本 〇真</v>
      </c>
      <c r="F28" s="13" t="str">
        <f>IF('予定・実績管理 全児童-2025年6月'!F28&lt;&gt;"",SUBSTITUTE(REPLACE('予定・実績管理 全児童-2025年6月'!F28,17,1,"〇"),MID('予定・実績管理 全児童-2025年6月'!F28,LEN('予定・実績管理 全児童-2025年6月'!F28)-1,1),"〇"),"")</f>
        <v>17:45-19:25 [放] 〇本 〇哉</v>
      </c>
      <c r="G28" s="13" t="str">
        <f>IF('予定・実績管理 全児童-2025年6月'!G28&lt;&gt;"",SUBSTITUTE(REPLACE('予定・実績管理 全児童-2025年6月'!G28,17,1,"〇"),MID('予定・実績管理 全児童-2025年6月'!G28,LEN('予定・実績管理 全児童-2025年6月'!G28)-1,1),"〇"),"")</f>
        <v>13:00-14:40 [放] 〇本 〇詠</v>
      </c>
    </row>
    <row r="29" spans="1:7" ht="38.1" customHeight="1">
      <c r="A29" s="13"/>
      <c r="B29" s="13" t="str">
        <f>IF('予定・実績管理 全児童-2025年6月'!B29&lt;&gt;"",SUBSTITUTE(REPLACE('予定・実績管理 全児童-2025年6月'!B29,17,1,"〇"),MID('予定・実績管理 全児童-2025年6月'!B29,LEN('予定・実績管理 全児童-2025年6月'!B29)-1,1),"〇"),"")</f>
        <v>17:45-19:25 [放] 〇岡 〇太</v>
      </c>
      <c r="C29" s="13" t="str">
        <f>IF('予定・実績管理 全児童-2025年6月'!C29&lt;&gt;"",SUBSTITUTE(REPLACE('予定・実績管理 全児童-2025年6月'!C29,17,1,"〇"),MID('予定・実績管理 全児童-2025年6月'!C29,LEN('予定・実績管理 全児童-2025年6月'!C29)-1,1),"〇"),"")</f>
        <v>17:45-19:25 [放] 〇斐 〇惺</v>
      </c>
      <c r="D29" s="13" t="str">
        <f>IF('予定・実績管理 全児童-2025年6月'!D29&lt;&gt;"",SUBSTITUTE(REPLACE('予定・実績管理 全児童-2025年6月'!D29,17,1,"〇"),MID('予定・実績管理 全児童-2025年6月'!D29,LEN('予定・実績管理 全児童-2025年6月'!D29)-1,1),"〇"),"")</f>
        <v>17:45-19:25 [放] 〇斐 〇惺</v>
      </c>
      <c r="E29" s="13" t="str">
        <f>IF('予定・実績管理 全児童-2025年6月'!E29&lt;&gt;"",SUBSTITUTE(REPLACE('予定・実績管理 全児童-2025年6月'!E29,17,1,"〇"),MID('予定・実績管理 全児童-2025年6月'!E29,LEN('予定・実績管理 全児童-2025年6月'!E29)-1,1),"〇"),"")</f>
        <v>17:45-19:25 [放] 〇木 〇汰</v>
      </c>
      <c r="F29" s="13" t="str">
        <f>IF('予定・実績管理 全児童-2025年6月'!F29&lt;&gt;"",SUBSTITUTE(REPLACE('予定・実績管理 全児童-2025年6月'!F29,17,1,"〇"),MID('予定・実績管理 全児童-2025年6月'!F29,LEN('予定・実績管理 全児童-2025年6月'!F29)-1,1),"〇"),"")</f>
        <v>17:45-19:25 [放] 〇山 〇弥</v>
      </c>
      <c r="G29" s="13" t="str">
        <f>IF('予定・実績管理 全児童-2025年6月'!G29&lt;&gt;"",SUBSTITUTE(REPLACE('予定・実績管理 全児童-2025年6月'!G29,17,1,"〇"),MID('予定・実績管理 全児童-2025年6月'!G29,LEN('予定・実績管理 全児童-2025年6月'!G29)-1,1),"〇"),"")</f>
        <v>13:00-14:40 [放] 〇内 〇登</v>
      </c>
    </row>
    <row r="30" spans="1:7" ht="38.1" customHeight="1">
      <c r="A30" s="13"/>
      <c r="B30" s="13" t="str">
        <f>IF('予定・実績管理 全児童-2025年6月'!B30&lt;&gt;"",SUBSTITUTE(REPLACE('予定・実績管理 全児童-2025年6月'!B30,17,1,"〇"),MID('予定・実績管理 全児童-2025年6月'!B30,LEN('予定・実績管理 全児童-2025年6月'!B30)-1,1),"〇"),"")</f>
        <v>17:45-19:25 [放] 〇 航〇朗</v>
      </c>
      <c r="C30" s="13" t="str">
        <f>IF('予定・実績管理 全児童-2025年6月'!C30&lt;&gt;"",SUBSTITUTE(REPLACE('予定・実績管理 全児童-2025年6月'!C30,17,1,"〇"),MID('予定・実績管理 全児童-2025年6月'!C30,LEN('予定・実績管理 全児童-2025年6月'!C30)-1,1),"〇"),"")</f>
        <v>17:45-19:25〇[放]〇〇迫〇紡</v>
      </c>
      <c r="D30" s="13" t="str">
        <f>IF('予定・実績管理 全児童-2025年6月'!D30&lt;&gt;"",SUBSTITUTE(REPLACE('予定・実績管理 全児童-2025年6月'!D30,17,1,"〇"),MID('予定・実績管理 全児童-2025年6月'!D30,LEN('予定・実績管理 全児童-2025年6月'!D30)-1,1),"〇"),"")</f>
        <v>17:45-19:25〇[放]〇〇口〇岳</v>
      </c>
      <c r="E30" s="13" t="str">
        <f>IF('予定・実績管理 全児童-2025年6月'!E30&lt;&gt;"",SUBSTITUTE(REPLACE('予定・実績管理 全児童-2025年6月'!E30,17,1,"〇"),MID('予定・実績管理 全児童-2025年6月'!E30,LEN('予定・実績管理 全児童-2025年6月'!E30)-1,1),"〇"),"")</f>
        <v>17:45-19:25 [放] 〇蔵原 〇大</v>
      </c>
      <c r="F30" s="13" t="str">
        <f>IF('予定・実績管理 全児童-2025年6月'!F30&lt;&gt;"",SUBSTITUTE(REPLACE('予定・実績管理 全児童-2025年6月'!F30,17,1,"〇"),MID('予定・実績管理 全児童-2025年6月'!F30,LEN('予定・実績管理 全児童-2025年6月'!F30)-1,1),"〇"),"")</f>
        <v>17:45-19:25 [放] 〇田 〇希</v>
      </c>
      <c r="G30" s="13" t="str">
        <f>IF('予定・実績管理 全児童-2025年6月'!G30&lt;&gt;"",SUBSTITUTE(REPLACE('予定・実績管理 全児童-2025年6月'!G30,17,1,"〇"),MID('予定・実績管理 全児童-2025年6月'!G30,LEN('予定・実績管理 全児童-2025年6月'!G30)-1,1),"〇"),"")</f>
        <v>13:00-14:40〇[放]〇〇邉〇尊</v>
      </c>
    </row>
    <row r="31" spans="1:7" ht="38.1" customHeight="1">
      <c r="A31" s="13"/>
      <c r="B31" s="13" t="str">
        <f>IF('予定・実績管理 全児童-2025年6月'!B31&lt;&gt;"",SUBSTITUTE(REPLACE('予定・実績管理 全児童-2025年6月'!B31,17,1,"〇"),MID('予定・実績管理 全児童-2025年6月'!B31,LEN('予定・実績管理 全児童-2025年6月'!B31)-1,1),"〇"),"")</f>
        <v/>
      </c>
      <c r="C31" s="13" t="str">
        <f>IF('予定・実績管理 全児童-2025年6月'!C31&lt;&gt;"",SUBSTITUTE(REPLACE('予定・実績管理 全児童-2025年6月'!C31,17,1,"〇"),MID('予定・実績管理 全児童-2025年6月'!C31,LEN('予定・実績管理 全児童-2025年6月'!C31)-1,1),"〇"),"")</f>
        <v>17:45-19:25 [放] 〇浦 〇貴</v>
      </c>
      <c r="D31" s="13" t="str">
        <f>IF('予定・実績管理 全児童-2025年6月'!D31&lt;&gt;"",SUBSTITUTE(REPLACE('予定・実績管理 全児童-2025年6月'!D31,17,1,"〇"),MID('予定・実績管理 全児童-2025年6月'!D31,LEN('予定・実績管理 全児童-2025年6月'!D31)-1,1),"〇"),"")</f>
        <v>17:45-19:25 [放] 〇農 〇芽</v>
      </c>
      <c r="E31" s="13" t="str">
        <f>IF('予定・実績管理 全児童-2025年6月'!E31&lt;&gt;"",SUBSTITUTE(REPLACE('予定・実績管理 全児童-2025年6月'!E31,17,1,"〇"),MID('予定・実績管理 全児童-2025年6月'!E31,LEN('予定・実績管理 全児童-2025年6月'!E31)-1,1),"〇"),"")</f>
        <v>17:45-19:25 [放] 〇藤 〇祐</v>
      </c>
      <c r="F31" s="13" t="str">
        <f>IF('予定・実績管理 全児童-2025年6月'!F31&lt;&gt;"",SUBSTITUTE(REPLACE('予定・実績管理 全児童-2025年6月'!F31,17,1,"〇"),MID('予定・実績管理 全児童-2025年6月'!F31,LEN('予定・実績管理 全児童-2025年6月'!F31)-1,1),"〇"),"")</f>
        <v>17:45-19:25〇[放]〇〇水〇悠</v>
      </c>
      <c r="G31" s="13" t="str">
        <f>IF('予定・実績管理 全児童-2025年6月'!G31&lt;&gt;"",SUBSTITUTE(REPLACE('予定・実績管理 全児童-2025年6月'!G31,17,1,"〇"),MID('予定・実績管理 全児童-2025年6月'!G31,LEN('予定・実績管理 全児童-2025年6月'!G31)-1,1),"〇"),"")</f>
        <v>13:00-14:40 [放] 〇橋 〇希</v>
      </c>
    </row>
    <row r="32" spans="1:7" ht="38.1" customHeight="1">
      <c r="A32" s="13"/>
      <c r="B32" s="13" t="str">
        <f>IF('予定・実績管理 全児童-2025年6月'!B32&lt;&gt;"",SUBSTITUTE(REPLACE('予定・実績管理 全児童-2025年6月'!B32,17,1,"〇"),MID('予定・実績管理 全児童-2025年6月'!B32,LEN('予定・実績管理 全児童-2025年6月'!B32)-1,1),"〇"),"")</f>
        <v/>
      </c>
      <c r="C32" s="13" t="str">
        <f>IF('予定・実績管理 全児童-2025年6月'!C32&lt;&gt;"",SUBSTITUTE(REPLACE('予定・実績管理 全児童-2025年6月'!C32,17,1,"〇"),MID('予定・実績管理 全児童-2025年6月'!C32,LEN('予定・実績管理 全児童-2025年6月'!C32)-1,1),"〇"),"")</f>
        <v>17:45-19:25 [放] 〇原 〇晴</v>
      </c>
      <c r="D32" s="13" t="str">
        <f>IF('予定・実績管理 全児童-2025年6月'!D32&lt;&gt;"",SUBSTITUTE(REPLACE('予定・実績管理 全児童-2025年6月'!D32,17,1,"〇"),MID('予定・実績管理 全児童-2025年6月'!D32,LEN('予定・実績管理 全児童-2025年6月'!D32)-1,1),"〇"),"")</f>
        <v>17:45-19:25〇[放]〇〇人〇禄</v>
      </c>
      <c r="E32" s="13" t="str">
        <f>IF('予定・実績管理 全児童-2025年6月'!E32&lt;&gt;"",SUBSTITUTE(REPLACE('予定・実績管理 全児童-2025年6月'!E32,17,1,"〇"),MID('予定・実績管理 全児童-2025年6月'!E32,LEN('予定・実績管理 全児童-2025年6月'!E32)-1,1),"〇"),"")</f>
        <v>17:45-19:25 [放] 〇田 〇音</v>
      </c>
      <c r="F32" s="13" t="str">
        <f>IF('予定・実績管理 全児童-2025年6月'!F32&lt;&gt;"",SUBSTITUTE(REPLACE('予定・実績管理 全児童-2025年6月'!F32,17,1,"〇"),MID('予定・実績管理 全児童-2025年6月'!F32,LEN('予定・実績管理 全児童-2025年6月'!F32)-1,1),"〇"),"")</f>
        <v>17:45-19:25 [放] 〇野 〇海</v>
      </c>
      <c r="G32" s="13" t="str">
        <f>IF('予定・実績管理 全児童-2025年6月'!G32&lt;&gt;"",SUBSTITUTE(REPLACE('予定・実績管理 全児童-2025年6月'!G32,17,1,"〇"),MID('予定・実績管理 全児童-2025年6月'!G32,LEN('予定・実績管理 全児童-2025年6月'!G32)-1,1),"〇"),"")</f>
        <v>15:00-16:40 [放] 〇藤 〇斗</v>
      </c>
    </row>
    <row r="33" spans="1:7" ht="38.1" customHeight="1">
      <c r="A33" s="13"/>
      <c r="B33" s="13" t="str">
        <f>IF('予定・実績管理 全児童-2025年6月'!B33&lt;&gt;"",SUBSTITUTE(REPLACE('予定・実績管理 全児童-2025年6月'!B33,17,1,"〇"),MID('予定・実績管理 全児童-2025年6月'!B33,LEN('予定・実績管理 全児童-2025年6月'!B33)-1,1),"〇"),"")</f>
        <v/>
      </c>
      <c r="C33" s="13" t="str">
        <f>IF('予定・実績管理 全児童-2025年6月'!C33&lt;&gt;"",SUBSTITUTE(REPLACE('予定・実績管理 全児童-2025年6月'!C33,17,1,"〇"),MID('予定・実績管理 全児童-2025年6月'!C33,LEN('予定・実績管理 全児童-2025年6月'!C33)-1,1),"〇"),"")</f>
        <v>17:45-19:25 [放] 〇井 〇偉</v>
      </c>
      <c r="D33" s="13" t="str">
        <f>IF('予定・実績管理 全児童-2025年6月'!D33&lt;&gt;"",SUBSTITUTE(REPLACE('予定・実績管理 全児童-2025年6月'!D33,17,1,"〇"),MID('予定・実績管理 全児童-2025年6月'!D33,LEN('予定・実績管理 全児童-2025年6月'!D33)-1,1),"〇"),"")</f>
        <v>17:45-19:25 [放] 〇田 〇音</v>
      </c>
      <c r="E33" s="13" t="str">
        <f>IF('予定・実績管理 全児童-2025年6月'!E33&lt;&gt;"",SUBSTITUTE(REPLACE('予定・実績管理 全児童-2025年6月'!E33,17,1,"〇"),MID('予定・実績管理 全児童-2025年6月'!E33,LEN('予定・実績管理 全児童-2025年6月'!E33)-1,1),"〇"),"")</f>
        <v>17:45-19:25 [放] 〇山 紘〇朗</v>
      </c>
      <c r="F33" s="13" t="str">
        <f>IF('予定・実績管理 全児童-2025年6月'!F33&lt;&gt;"",SUBSTITUTE(REPLACE('予定・実績管理 全児童-2025年6月'!F33,17,1,"〇"),MID('予定・実績管理 全児童-2025年6月'!F33,LEN('予定・実績管理 全児童-2025年6月'!F33)-1,1),"〇"),"")</f>
        <v>17:45-19:25 [放] 〇野 〇子</v>
      </c>
      <c r="G33" s="13" t="str">
        <f>IF('予定・実績管理 全児童-2025年6月'!G33&lt;&gt;"",SUBSTITUTE(REPLACE('予定・実績管理 全児童-2025年6月'!G33,17,1,"〇"),MID('予定・実績管理 全児童-2025年6月'!G33,LEN('予定・実績管理 全児童-2025年6月'!G33)-1,1),"〇"),"")</f>
        <v>15:00-16:40 [放] 〇路 〇夢</v>
      </c>
    </row>
    <row r="34" spans="1:7" ht="38.1" customHeight="1">
      <c r="A34" s="13"/>
      <c r="B34" s="13" t="str">
        <f>IF('予定・実績管理 全児童-2025年6月'!B34&lt;&gt;"",SUBSTITUTE(REPLACE('予定・実績管理 全児童-2025年6月'!B34,17,1,"〇"),MID('予定・実績管理 全児童-2025年6月'!B34,LEN('予定・実績管理 全児童-2025年6月'!B34)-1,1),"〇"),"")</f>
        <v/>
      </c>
      <c r="C34" s="13" t="str">
        <f>IF('予定・実績管理 全児童-2025年6月'!C34&lt;&gt;"",SUBSTITUTE(REPLACE('予定・実績管理 全児童-2025年6月'!C34,17,1,"〇"),MID('予定・実績管理 全児童-2025年6月'!C34,LEN('予定・実績管理 全児童-2025年6月'!C34)-1,1),"〇"),"")</f>
        <v/>
      </c>
      <c r="D34" s="13" t="str">
        <f>IF('予定・実績管理 全児童-2025年6月'!D34&lt;&gt;"",SUBSTITUTE(REPLACE('予定・実績管理 全児童-2025年6月'!D34,17,1,"〇"),MID('予定・実績管理 全児童-2025年6月'!D34,LEN('予定・実績管理 全児童-2025年6月'!D34)-1,1),"〇"),"")</f>
        <v>17:45-19:25 [放] 〇口 〇己</v>
      </c>
      <c r="E34" s="13" t="str">
        <f>IF('予定・実績管理 全児童-2025年6月'!E34&lt;&gt;"",SUBSTITUTE(REPLACE('予定・実績管理 全児童-2025年6月'!E34,17,1,"〇"),MID('予定・実績管理 全児童-2025年6月'!E34,LEN('予定・実績管理 全児童-2025年6月'!E34)-1,1),"〇"),"")</f>
        <v/>
      </c>
      <c r="F34" s="13" t="str">
        <f>IF('予定・実績管理 全児童-2025年6月'!F34&lt;&gt;"",SUBSTITUTE(REPLACE('予定・実績管理 全児童-2025年6月'!F34,17,1,"〇"),MID('予定・実績管理 全児童-2025年6月'!F34,LEN('予定・実績管理 全児童-2025年6月'!F34)-1,1),"〇"),"")</f>
        <v>17:45-19:25 [放] 〇岡 〇希</v>
      </c>
      <c r="G34" s="13" t="str">
        <f>IF('予定・実績管理 全児童-2025年6月'!G34&lt;&gt;"",SUBSTITUTE(REPLACE('予定・実績管理 全児童-2025年6月'!G34,17,1,"〇"),MID('予定・実績管理 全児童-2025年6月'!G34,LEN('予定・実績管理 全児童-2025年6月'!G34)-1,1),"〇"),"")</f>
        <v>15:00-16:40 [放] 〇山 〇渡</v>
      </c>
    </row>
    <row r="35" spans="1:7" ht="38.1" customHeight="1">
      <c r="A35" s="13"/>
      <c r="B35" s="13" t="str">
        <f>IF('予定・実績管理 全児童-2025年6月'!B35&lt;&gt;"",SUBSTITUTE(REPLACE('予定・実績管理 全児童-2025年6月'!B35,17,1,"〇"),MID('予定・実績管理 全児童-2025年6月'!B35,LEN('予定・実績管理 全児童-2025年6月'!B35)-1,1),"〇"),"")</f>
        <v/>
      </c>
      <c r="C35" s="13" t="str">
        <f>IF('予定・実績管理 全児童-2025年6月'!C35&lt;&gt;"",SUBSTITUTE(REPLACE('予定・実績管理 全児童-2025年6月'!C35,17,1,"〇"),MID('予定・実績管理 全児童-2025年6月'!C35,LEN('予定・実績管理 全児童-2025年6月'!C35)-1,1),"〇"),"")</f>
        <v/>
      </c>
      <c r="D35" s="13" t="str">
        <f>IF('予定・実績管理 全児童-2025年6月'!D35&lt;&gt;"",SUBSTITUTE(REPLACE('予定・実績管理 全児童-2025年6月'!D35,17,1,"〇"),MID('予定・実績管理 全児童-2025年6月'!D35,LEN('予定・実績管理 全児童-2025年6月'!D35)-1,1),"〇"),"")</f>
        <v>17:45-19:25 [放] 〇 〇希</v>
      </c>
      <c r="E35" s="13" t="str">
        <f>IF('予定・実績管理 全児童-2025年6月'!E35&lt;&gt;"",SUBSTITUTE(REPLACE('予定・実績管理 全児童-2025年6月'!E35,17,1,"〇"),MID('予定・実績管理 全児童-2025年6月'!E35,LEN('予定・実績管理 全児童-2025年6月'!E35)-1,1),"〇"),"")</f>
        <v/>
      </c>
      <c r="F35" s="13" t="str">
        <f>IF('予定・実績管理 全児童-2025年6月'!F35&lt;&gt;"",SUBSTITUTE(REPLACE('予定・実績管理 全児童-2025年6月'!F35,17,1,"〇"),MID('予定・実績管理 全児童-2025年6月'!F35,LEN('予定・実績管理 全児童-2025年6月'!F35)-1,1),"〇"),"")</f>
        <v>17:45-19:25〇[放]〇〇岡〇雫</v>
      </c>
      <c r="G35" s="13" t="str">
        <f>IF('予定・実績管理 全児童-2025年6月'!G35&lt;&gt;"",SUBSTITUTE(REPLACE('予定・実績管理 全児童-2025年6月'!G35,17,1,"〇"),MID('予定・実績管理 全児童-2025年6月'!G35,LEN('予定・実績管理 全児童-2025年6月'!G35)-1,1),"〇"),"")</f>
        <v>15:00-16:40 [放] 〇山 〇美</v>
      </c>
    </row>
    <row r="36" spans="1:7" ht="38.1" customHeight="1">
      <c r="A36" s="13"/>
      <c r="B36" s="13" t="str">
        <f>IF('予定・実績管理 全児童-2025年6月'!B36&lt;&gt;"",SUBSTITUTE(REPLACE('予定・実績管理 全児童-2025年6月'!B36,17,1,"〇"),MID('予定・実績管理 全児童-2025年6月'!B36,LEN('予定・実績管理 全児童-2025年6月'!B36)-1,1),"〇"),"")</f>
        <v/>
      </c>
      <c r="C36" s="13" t="str">
        <f>IF('予定・実績管理 全児童-2025年6月'!C36&lt;&gt;"",SUBSTITUTE(REPLACE('予定・実績管理 全児童-2025年6月'!C36,17,1,"〇"),MID('予定・実績管理 全児童-2025年6月'!C36,LEN('予定・実績管理 全児童-2025年6月'!C36)-1,1),"〇"),"")</f>
        <v/>
      </c>
      <c r="D36" s="13" t="str">
        <f>IF('予定・実績管理 全児童-2025年6月'!D36&lt;&gt;"",SUBSTITUTE(REPLACE('予定・実績管理 全児童-2025年6月'!D36,17,1,"〇"),MID('予定・実績管理 全児童-2025年6月'!D36,LEN('予定・実績管理 全児童-2025年6月'!D36)-1,1),"〇"),"")</f>
        <v/>
      </c>
      <c r="E36" s="13" t="str">
        <f>IF('予定・実績管理 全児童-2025年6月'!E36&lt;&gt;"",SUBSTITUTE(REPLACE('予定・実績管理 全児童-2025年6月'!E36,17,1,"〇"),MID('予定・実績管理 全児童-2025年6月'!E36,LEN('予定・実績管理 全児童-2025年6月'!E36)-1,1),"〇"),"")</f>
        <v/>
      </c>
      <c r="F36" s="13" t="str">
        <f>IF('予定・実績管理 全児童-2025年6月'!F36&lt;&gt;"",SUBSTITUTE(REPLACE('予定・実績管理 全児童-2025年6月'!F36,17,1,"〇"),MID('予定・実績管理 全児童-2025年6月'!F36,LEN('予定・実績管理 全児童-2025年6月'!F36)-1,1),"〇"),"")</f>
        <v/>
      </c>
      <c r="G36" s="13" t="str">
        <f>IF('予定・実績管理 全児童-2025年6月'!G36&lt;&gt;"",SUBSTITUTE(REPLACE('予定・実績管理 全児童-2025年6月'!G36,17,1,"〇"),MID('予定・実績管理 全児童-2025年6月'!G36,LEN('予定・実績管理 全児童-2025年6月'!G36)-1,1),"〇"),"")</f>
        <v>15:00-16:40 [放] 〇本 〇希</v>
      </c>
    </row>
    <row r="37" spans="1:7" ht="75.95" customHeight="1">
      <c r="A37" s="14"/>
      <c r="B37" s="13" t="str">
        <f>IF('予定・実績管理 全児童-2025年6月'!B37&lt;&gt;"",SUBSTITUTE(REPLACE('予定・実績管理 全児童-2025年6月'!B37,17,1,"〇"),MID('予定・実績管理 全児童-2025年6月'!B37,LEN('予定・実績管理 全児童-2025年6月'!B37)-1,1),"〇"),"")</f>
        <v/>
      </c>
      <c r="C37" s="13" t="str">
        <f>IF('予定・実績管理 全児童-2025年6月'!C37&lt;&gt;"",SUBSTITUTE(REPLACE('予定・実績管理 全児童-2025年6月'!C37,17,1,"〇"),MID('予定・実績管理 全児童-2025年6月'!C37,LEN('予定・実績管理 全児童-2025年6月'!C37)-1,1),"〇"),"")</f>
        <v/>
      </c>
      <c r="D37" s="13" t="str">
        <f>IF('予定・実績管理 全児童-2025年6月'!D37&lt;&gt;"",SUBSTITUTE(REPLACE('予定・実績管理 全児童-2025年6月'!D37,17,1,"〇"),MID('予定・実績管理 全児童-2025年6月'!D37,LEN('予定・実績管理 全児童-2025年6月'!D37)-1,1),"〇"),"")</f>
        <v/>
      </c>
      <c r="E37" s="13" t="str">
        <f>IF('予定・実績管理 全児童-2025年6月'!E37&lt;&gt;"",SUBSTITUTE(REPLACE('予定・実績管理 全児童-2025年6月'!E37,17,1,"〇"),MID('予定・実績管理 全児童-2025年6月'!E37,LEN('予定・実績管理 全児童-2025年6月'!E37)-1,1),"〇"),"")</f>
        <v/>
      </c>
      <c r="F37" s="13" t="str">
        <f>IF('予定・実績管理 全児童-2025年6月'!F37&lt;&gt;"",SUBSTITUTE(REPLACE('予定・実績管理 全児童-2025年6月'!F37,17,1,"〇"),MID('予定・実績管理 全児童-2025年6月'!F37,LEN('予定・実績管理 全児童-2025年6月'!F37)-1,1),"〇"),"")</f>
        <v/>
      </c>
      <c r="G37" s="13" t="str">
        <f>IF('予定・実績管理 全児童-2025年6月'!G37&lt;&gt;"",SUBSTITUTE(REPLACE('予定・実績管理 全児童-2025年6月'!G37,17,1,"〇"),MID('予定・実績管理 全児童-2025年6月'!G37,LEN('予定・実績管理 全児童-2025年6月'!G37)-1,1),"〇"),"")</f>
        <v/>
      </c>
    </row>
    <row r="38" spans="1:7" ht="30" customHeight="1">
      <c r="A38" s="12">
        <v>15</v>
      </c>
      <c r="B38" s="12">
        <v>16</v>
      </c>
      <c r="C38" s="12">
        <v>17</v>
      </c>
      <c r="D38" s="12">
        <v>18</v>
      </c>
      <c r="E38" s="12">
        <v>19</v>
      </c>
      <c r="F38" s="12">
        <v>20</v>
      </c>
      <c r="G38" s="12">
        <v>21</v>
      </c>
    </row>
    <row r="39" spans="1:7" ht="38.1" customHeight="1">
      <c r="A39" s="13"/>
      <c r="B39" s="13" t="str">
        <f>IF('予定・実績管理 全児童-2025年6月'!B39&lt;&gt;"",SUBSTITUTE(REPLACE('予定・実績管理 全児童-2025年6月'!B39,17,1,"〇"),MID('予定・実績管理 全児童-2025年6月'!B39,LEN('予定・実績管理 全児童-2025年6月'!B39)-1,1),"〇"),"")</f>
        <v>14:20-17:40 [放] 〇上 〇太</v>
      </c>
      <c r="C39" s="13" t="str">
        <f>IF('予定・実績管理 全児童-2025年6月'!C39&lt;&gt;"",SUBSTITUTE(REPLACE('予定・実績管理 全児童-2025年6月'!C39,17,1,"〇"),MID('予定・実績管理 全児童-2025年6月'!C39,LEN('予定・実績管理 全児童-2025年6月'!C39)-1,1),"〇"),"")</f>
        <v>14:20-16:00 [放] 〇矢 〇穂</v>
      </c>
      <c r="D39" s="13" t="str">
        <f>IF('予定・実績管理 全児童-2025年6月'!D39&lt;&gt;"",SUBSTITUTE(REPLACE('予定・実績管理 全児童-2025年6月'!D39,17,1,"〇"),MID('予定・実績管理 全児童-2025年6月'!D39,LEN('予定・実績管理 全児童-2025年6月'!D39)-1,1),"〇"),"")</f>
        <v>14:00-15:40 [放] 〇矢 〇穂</v>
      </c>
      <c r="E39" s="13" t="str">
        <f>IF('予定・実績管理 全児童-2025年6月'!E39&lt;&gt;"",SUBSTITUTE(REPLACE('予定・実績管理 全児童-2025年6月'!E39,17,1,"〇"),MID('予定・実績管理 全児童-2025年6月'!E39,LEN('予定・実績管理 全児童-2025年6月'!E39)-1,1),"〇"),"")</f>
        <v>14:20-16:00 [放] 〇村 〇花</v>
      </c>
      <c r="F39" s="13" t="str">
        <f>IF('予定・実績管理 全児童-2025年6月'!F39&lt;&gt;"",SUBSTITUTE(REPLACE('予定・実績管理 全児童-2025年6月'!F39,17,1,"〇"),MID('予定・実績管理 全児童-2025年6月'!F39,LEN('予定・実績管理 全児童-2025年6月'!F39)-1,1),"〇"),"")</f>
        <v>16:00-17:40 [放] 〇本 〇真</v>
      </c>
      <c r="G39" s="13" t="str">
        <f>IF('予定・実績管理 全児童-2025年6月'!G39&lt;&gt;"",SUBSTITUTE(REPLACE('予定・実績管理 全児童-2025年6月'!G39,17,1,"〇"),MID('予定・実績管理 全児童-2025年6月'!G39,LEN('予定・実績管理 全児童-2025年6月'!G39)-1,1),"〇"),"")</f>
        <v>10:15-11:55 [放] 〇藤 〇向</v>
      </c>
    </row>
    <row r="40" spans="1:7" ht="38.1" customHeight="1">
      <c r="A40" s="13"/>
      <c r="B40" s="13" t="str">
        <f>IF('予定・実績管理 全児童-2025年6月'!B40&lt;&gt;"",SUBSTITUTE(REPLACE('予定・実績管理 全児童-2025年6月'!B40,17,1,"〇"),MID('予定・実績管理 全児童-2025年6月'!B40,LEN('予定・実績管理 全児童-2025年6月'!B40)-1,1),"〇"),"")</f>
        <v>16:00-17:40 [放] 〇本 〇成</v>
      </c>
      <c r="C40" s="13" t="str">
        <f>IF('予定・実績管理 全児童-2025年6月'!C40&lt;&gt;"",SUBSTITUTE(REPLACE('予定・実績管理 全児童-2025年6月'!C40,17,1,"〇"),MID('予定・実績管理 全児童-2025年6月'!C40,LEN('予定・実績管理 全児童-2025年6月'!C40)-1,1),"〇"),"")</f>
        <v>16:00-17:40 [放] 〇野 〇悟</v>
      </c>
      <c r="D40" s="13" t="str">
        <f>IF('予定・実績管理 全児童-2025年6月'!D40&lt;&gt;"",SUBSTITUTE(REPLACE('予定・実績管理 全児童-2025年6月'!D40,17,1,"〇"),MID('予定・実績管理 全児童-2025年6月'!D40,LEN('予定・実績管理 全児童-2025年6月'!D40)-1,1),"〇"),"")</f>
        <v>16:00-17:40〇[放]〇〇笠原〇駿</v>
      </c>
      <c r="E40" s="13" t="str">
        <f>IF('予定・実績管理 全児童-2025年6月'!E40&lt;&gt;"",SUBSTITUTE(REPLACE('予定・実績管理 全児童-2025年6月'!E40,17,1,"〇"),MID('予定・実績管理 全児童-2025年6月'!E40,LEN('予定・実績管理 全児童-2025年6月'!E40)-1,1),"〇"),"")</f>
        <v>16:00-17:40 [放] 〇田 〇真</v>
      </c>
      <c r="F40" s="13" t="str">
        <f>IF('予定・実績管理 全児童-2025年6月'!F40&lt;&gt;"",SUBSTITUTE(REPLACE('予定・実績管理 全児童-2025年6月'!F40,17,1,"〇"),MID('予定・実績管理 全児童-2025年6月'!F40,LEN('予定・実績管理 全児童-2025年6月'!F40)-1,1),"〇"),"")</f>
        <v>16:00-17:40 [放] 〇田 〇生</v>
      </c>
      <c r="G40" s="13" t="str">
        <f>IF('予定・実績管理 全児童-2025年6月'!G40&lt;&gt;"",SUBSTITUTE(REPLACE('予定・実績管理 全児童-2025年6月'!G40,17,1,"〇"),MID('予定・実績管理 全児童-2025年6月'!G40,LEN('予定・実績管理 全児童-2025年6月'!G40)-1,1),"〇"),"")</f>
        <v>10:15-11:55 [放] 〇里 〇史</v>
      </c>
    </row>
    <row r="41" spans="1:7" ht="38.1" customHeight="1">
      <c r="A41" s="13"/>
      <c r="B41" s="13" t="str">
        <f>IF('予定・実績管理 全児童-2025年6月'!B41&lt;&gt;"",SUBSTITUTE(REPLACE('予定・実績管理 全児童-2025年6月'!B41,17,1,"〇"),MID('予定・実績管理 全児童-2025年6月'!B41,LEN('予定・実績管理 全児童-2025年6月'!B41)-1,1),"〇"),"")</f>
        <v>16:00-17:40 [放] 〇見渕 〇吾</v>
      </c>
      <c r="C41" s="13" t="str">
        <f>IF('予定・実績管理 全児童-2025年6月'!C41&lt;&gt;"",SUBSTITUTE(REPLACE('予定・実績管理 全児童-2025年6月'!C41,17,1,"〇"),MID('予定・実績管理 全児童-2025年6月'!C41,LEN('予定・実績管理 全児童-2025年6月'!C41)-1,1),"〇"),"")</f>
        <v>16:00-17:40 [放] 〇田 〇世</v>
      </c>
      <c r="D41" s="13" t="str">
        <f>IF('予定・実績管理 全児童-2025年6月'!D41&lt;&gt;"",SUBSTITUTE(REPLACE('予定・実績管理 全児童-2025年6月'!D41,17,1,"〇"),MID('予定・実績管理 全児童-2025年6月'!D41,LEN('予定・実績管理 全児童-2025年6月'!D41)-1,1),"〇"),"")</f>
        <v>16:00-17:40 [放] 〇本 〇佑</v>
      </c>
      <c r="E41" s="13" t="str">
        <f>IF('予定・実績管理 全児童-2025年6月'!E41&lt;&gt;"",SUBSTITUTE(REPLACE('予定・実績管理 全児童-2025年6月'!E41,17,1,"〇"),MID('予定・実績管理 全児童-2025年6月'!E41,LEN('予定・実績管理 全児童-2025年6月'!E41)-1,1),"〇"),"")</f>
        <v>16:00-17:40 [放] 〇田 〇翔</v>
      </c>
      <c r="F41" s="13" t="str">
        <f>IF('予定・実績管理 全児童-2025年6月'!F41&lt;&gt;"",SUBSTITUTE(REPLACE('予定・実績管理 全児童-2025年6月'!F41,17,1,"〇"),MID('予定・実績管理 全児童-2025年6月'!F41,LEN('予定・実績管理 全児童-2025年6月'!F41)-1,1),"〇"),"")</f>
        <v>16:00-17:40 [放] 〇井 〇郁</v>
      </c>
      <c r="G41" s="13" t="str">
        <f>IF('予定・実績管理 全児童-2025年6月'!G41&lt;&gt;"",SUBSTITUTE(REPLACE('予定・実績管理 全児童-2025年6月'!G41,17,1,"〇"),MID('予定・実績管理 全児童-2025年6月'!G41,LEN('予定・実績管理 全児童-2025年6月'!G41)-1,1),"〇"),"")</f>
        <v>10:15-11:55〇[放]〇〇松〇奏</v>
      </c>
    </row>
    <row r="42" spans="1:7" ht="38.1" customHeight="1">
      <c r="A42" s="13"/>
      <c r="B42" s="13" t="str">
        <f>IF('予定・実績管理 全児童-2025年6月'!B42&lt;&gt;"",SUBSTITUTE(REPLACE('予定・実績管理 全児童-2025年6月'!B42,17,1,"〇"),MID('予定・実績管理 全児童-2025年6月'!B42,LEN('予定・実績管理 全児童-2025年6月'!B42)-1,1),"〇"),"")</f>
        <v>16:00-17:40 [放] 〇前 〇伎</v>
      </c>
      <c r="C42" s="13" t="str">
        <f>IF('予定・実績管理 全児童-2025年6月'!C42&lt;&gt;"",SUBSTITUTE(REPLACE('予定・実績管理 全児童-2025年6月'!C42,17,1,"〇"),MID('予定・実績管理 全児童-2025年6月'!C42,LEN('予定・実績管理 全児童-2025年6月'!C42)-1,1),"〇"),"")</f>
        <v>16:00-17:40 [放] 〇原 蒼〇朗</v>
      </c>
      <c r="D42" s="13" t="str">
        <f>IF('予定・実績管理 全児童-2025年6月'!D42&lt;&gt;"",SUBSTITUTE(REPLACE('予定・実績管理 全児童-2025年6月'!D42,17,1,"〇"),MID('予定・実績管理 全児童-2025年6月'!D42,LEN('予定・実績管理 全児童-2025年6月'!D42)-1,1),"〇"),"")</f>
        <v>16:00-17:40 [放] 〇井 〇郁</v>
      </c>
      <c r="E42" s="13" t="str">
        <f>IF('予定・実績管理 全児童-2025年6月'!E42&lt;&gt;"",SUBSTITUTE(REPLACE('予定・実績管理 全児童-2025年6月'!E42,17,1,"〇"),MID('予定・実績管理 全児童-2025年6月'!E42,LEN('予定・実績管理 全児童-2025年6月'!E42)-1,1),"〇"),"")</f>
        <v>16:00-17:40 [放] 〇井 〇弥</v>
      </c>
      <c r="F42" s="13" t="str">
        <f>IF('予定・実績管理 全児童-2025年6月'!F42&lt;&gt;"",SUBSTITUTE(REPLACE('予定・実績管理 全児童-2025年6月'!F42,17,1,"〇"),MID('予定・実績管理 全児童-2025年6月'!F42,LEN('予定・実績管理 全児童-2025年6月'!F42)-1,1),"〇"),"")</f>
        <v>16:00-17:40〇[放]〇〇井〇翼</v>
      </c>
      <c r="G42" s="13" t="str">
        <f>IF('予定・実績管理 全児童-2025年6月'!G42&lt;&gt;"",SUBSTITUTE(REPLACE('予定・実績管理 全児童-2025年6月'!G42,17,1,"〇"),MID('予定・実績管理 全児童-2025年6月'!G42,LEN('予定・実績管理 全児童-2025年6月'!G42)-1,1),"〇"),"")</f>
        <v>10:15-11:55 [放] 〇田 〇音</v>
      </c>
    </row>
    <row r="43" spans="1:7" ht="38.1" customHeight="1">
      <c r="A43" s="13"/>
      <c r="B43" s="13" t="str">
        <f>IF('予定・実績管理 全児童-2025年6月'!B43&lt;&gt;"",SUBSTITUTE(REPLACE('予定・実績管理 全児童-2025年6月'!B43,17,1,"〇"),MID('予定・実績管理 全児童-2025年6月'!B43,LEN('予定・実績管理 全児童-2025年6月'!B43)-1,1),"〇"),"")</f>
        <v>16:00-17:40 [放] 〇野 〇輝</v>
      </c>
      <c r="C43" s="13" t="str">
        <f>IF('予定・実績管理 全児童-2025年6月'!C43&lt;&gt;"",SUBSTITUTE(REPLACE('予定・実績管理 全児童-2025年6月'!C43,17,1,"〇"),MID('予定・実績管理 全児童-2025年6月'!C43,LEN('予定・実績管理 全児童-2025年6月'!C43)-1,1),"〇"),"")</f>
        <v>16:00-17:40 [放] 〇西 〇偉</v>
      </c>
      <c r="D43" s="13" t="str">
        <f>IF('予定・実績管理 全児童-2025年6月'!D43&lt;&gt;"",SUBSTITUTE(REPLACE('予定・実績管理 全児童-2025年6月'!D43,17,1,"〇"),MID('予定・実績管理 全児童-2025年6月'!D43,LEN('予定・実績管理 全児童-2025年6月'!D43)-1,1),"〇"),"")</f>
        <v>16:00-17:40〇[放]〇〇崎〇翼</v>
      </c>
      <c r="E43" s="13" t="str">
        <f>IF('予定・実績管理 全児童-2025年6月'!E43&lt;&gt;"",SUBSTITUTE(REPLACE('予定・実績管理 全児童-2025年6月'!E43,17,1,"〇"),MID('予定・実績管理 全児童-2025年6月'!E43,LEN('予定・実績管理 全児童-2025年6月'!E43)-1,1),"〇"),"")</f>
        <v>16:00-17:40 [放] 〇村 〇人</v>
      </c>
      <c r="F43" s="13" t="str">
        <f>IF('予定・実績管理 全児童-2025年6月'!F43&lt;&gt;"",SUBSTITUTE(REPLACE('予定・実績管理 全児童-2025年6月'!F43,17,1,"〇"),MID('予定・実績管理 全児童-2025年6月'!F43,LEN('予定・実績管理 全児童-2025年6月'!F43)-1,1),"〇"),"")</f>
        <v>16:00-17:40〇[放]〇〇井〇翔</v>
      </c>
      <c r="G43" s="13" t="str">
        <f>IF('予定・実績管理 全児童-2025年6月'!G43&lt;&gt;"",SUBSTITUTE(REPLACE('予定・実績管理 全児童-2025年6月'!G43,17,1,"〇"),MID('予定・実績管理 全児童-2025年6月'!G43,LEN('予定・実績管理 全児童-2025年6月'!G43)-1,1),"〇"),"")</f>
        <v>13:00-14:40 [放] 〇本 〇翔</v>
      </c>
    </row>
    <row r="44" spans="1:7" ht="38.1" customHeight="1">
      <c r="A44" s="13"/>
      <c r="B44" s="13" t="str">
        <f>IF('予定・実績管理 全児童-2025年6月'!B44&lt;&gt;"",SUBSTITUTE(REPLACE('予定・実績管理 全児童-2025年6月'!B44,17,1,"〇"),MID('予定・実績管理 全児童-2025年6月'!B44,LEN('予定・実績管理 全児童-2025年6月'!B44)-1,1),"〇"),"")</f>
        <v>16:00-17:40 [放] 〇木 〇吾</v>
      </c>
      <c r="C44" s="13" t="str">
        <f>IF('予定・実績管理 全児童-2025年6月'!C44&lt;&gt;"",SUBSTITUTE(REPLACE('予定・実績管理 全児童-2025年6月'!C44,17,1,"〇"),MID('予定・実績管理 全児童-2025年6月'!C44,LEN('予定・実績管理 全児童-2025年6月'!C44)-1,1),"〇"),"")</f>
        <v>16:00-17:40 [放] 〇仲 〇大</v>
      </c>
      <c r="D44" s="13" t="str">
        <f>IF('予定・実績管理 全児童-2025年6月'!D44&lt;&gt;"",SUBSTITUTE(REPLACE('予定・実績管理 全児童-2025年6月'!D44,17,1,"〇"),MID('予定・実績管理 全児童-2025年6月'!D44,LEN('予定・実績管理 全児童-2025年6月'!D44)-1,1),"〇"),"")</f>
        <v>16:00-17:40 [放] 〇山 紘〇朗</v>
      </c>
      <c r="E44" s="13" t="str">
        <f>IF('予定・実績管理 全児童-2025年6月'!E44&lt;&gt;"",SUBSTITUTE(REPLACE('予定・実績管理 全児童-2025年6月'!E44,17,1,"〇"),MID('予定・実績管理 全児童-2025年6月'!E44,LEN('予定・実績管理 全児童-2025年6月'!E44)-1,1),"〇"),"")</f>
        <v>17:45-19:25 [放] 〇藤 〇虎</v>
      </c>
      <c r="F44" s="13" t="str">
        <f>IF('予定・実績管理 全児童-2025年6月'!F44&lt;&gt;"",SUBSTITUTE(REPLACE('予定・実績管理 全児童-2025年6月'!F44,17,1,"〇"),MID('予定・実績管理 全児童-2025年6月'!F44,LEN('予定・実績管理 全児童-2025年6月'!F44)-1,1),"〇"),"")</f>
        <v>16:00-17:40 [放] 〇部 〇侑</v>
      </c>
      <c r="G44" s="13" t="str">
        <f>IF('予定・実績管理 全児童-2025年6月'!G44&lt;&gt;"",SUBSTITUTE(REPLACE('予定・実績管理 全児童-2025年6月'!G44,17,1,"〇"),MID('予定・実績管理 全児童-2025年6月'!G44,LEN('予定・実績管理 全児童-2025年6月'!G44)-1,1),"〇"),"")</f>
        <v>13:00-14:40 [放] 〇本 〇詠</v>
      </c>
    </row>
    <row r="45" spans="1:7" ht="38.1" customHeight="1">
      <c r="A45" s="13"/>
      <c r="B45" s="13" t="str">
        <f>IF('予定・実績管理 全児童-2025年6月'!B45&lt;&gt;"",SUBSTITUTE(REPLACE('予定・実績管理 全児童-2025年6月'!B45,17,1,"〇"),MID('予定・実績管理 全児童-2025年6月'!B45,LEN('予定・実績管理 全児童-2025年6月'!B45)-1,1),"〇"),"")</f>
        <v>17:45-19:25 [放] 〇藤 実〇里</v>
      </c>
      <c r="C45" s="13" t="str">
        <f>IF('予定・実績管理 全児童-2025年6月'!C45&lt;&gt;"",SUBSTITUTE(REPLACE('予定・実績管理 全児童-2025年6月'!C45,17,1,"〇"),MID('予定・実績管理 全児童-2025年6月'!C45,LEN('予定・実績管理 全児童-2025年6月'!C45)-1,1),"〇"),"")</f>
        <v>16:00-17:40 [放] 〇下 〇日</v>
      </c>
      <c r="D45" s="13" t="str">
        <f>IF('予定・実績管理 全児童-2025年6月'!D45&lt;&gt;"",SUBSTITUTE(REPLACE('予定・実績管理 全児童-2025年6月'!D45,17,1,"〇"),MID('予定・実績管理 全児童-2025年6月'!D45,LEN('予定・実績管理 全児童-2025年6月'!D45)-1,1),"〇"),"")</f>
        <v>17:45-19:25 [放] 〇上 〇介</v>
      </c>
      <c r="E45" s="13" t="str">
        <f>IF('予定・実績管理 全児童-2025年6月'!E45&lt;&gt;"",SUBSTITUTE(REPLACE('予定・実績管理 全児童-2025年6月'!E45,17,1,"〇"),MID('予定・実績管理 全児童-2025年6月'!E45,LEN('予定・実績管理 全児童-2025年6月'!E45)-1,1),"〇"),"")</f>
        <v>17:45-19:25 [放] 〇本 〇真</v>
      </c>
      <c r="F45" s="13" t="str">
        <f>IF('予定・実績管理 全児童-2025年6月'!F45&lt;&gt;"",SUBSTITUTE(REPLACE('予定・実績管理 全児童-2025年6月'!F45,17,1,"〇"),MID('予定・実績管理 全児童-2025年6月'!F45,LEN('予定・実績管理 全児童-2025年6月'!F45)-1,1),"〇"),"")</f>
        <v>17:45-19:25 [放] 〇本 〇哉</v>
      </c>
      <c r="G45" s="13" t="str">
        <f>IF('予定・実績管理 全児童-2025年6月'!G45&lt;&gt;"",SUBSTITUTE(REPLACE('予定・実績管理 全児童-2025年6月'!G45,17,1,"〇"),MID('予定・実績管理 全児童-2025年6月'!G45,LEN('予定・実績管理 全児童-2025年6月'!G45)-1,1),"〇"),"")</f>
        <v>13:00-14:40 [放] 〇之内 〇樹</v>
      </c>
    </row>
    <row r="46" spans="1:7" ht="38.1" customHeight="1">
      <c r="A46" s="13"/>
      <c r="B46" s="13" t="str">
        <f>IF('予定・実績管理 全児童-2025年6月'!B46&lt;&gt;"",SUBSTITUTE(REPLACE('予定・実績管理 全児童-2025年6月'!B46,17,1,"〇"),MID('予定・実績管理 全児童-2025年6月'!B46,LEN('予定・実績管理 全児童-2025年6月'!B46)-1,1),"〇"),"")</f>
        <v>17:45-19:25 [放] 〇 〇樹</v>
      </c>
      <c r="C46" s="13" t="str">
        <f>IF('予定・実績管理 全児童-2025年6月'!C46&lt;&gt;"",SUBSTITUTE(REPLACE('予定・実績管理 全児童-2025年6月'!C46,17,1,"〇"),MID('予定・実績管理 全児童-2025年6月'!C46,LEN('予定・実績管理 全児童-2025年6月'!C46)-1,1),"〇"),"")</f>
        <v>17:45-19:25 [放] 〇倉 〇来</v>
      </c>
      <c r="D46" s="13" t="str">
        <f>IF('予定・実績管理 全児童-2025年6月'!D46&lt;&gt;"",SUBSTITUTE(REPLACE('予定・実績管理 全児童-2025年6月'!D46,17,1,"〇"),MID('予定・実績管理 全児童-2025年6月'!D46,LEN('予定・実績管理 全児童-2025年6月'!D46)-1,1),"〇"),"")</f>
        <v>17:45-19:25〇[放]〇〇口〇岳</v>
      </c>
      <c r="E46" s="13" t="str">
        <f>IF('予定・実績管理 全児童-2025年6月'!E46&lt;&gt;"",SUBSTITUTE(REPLACE('予定・実績管理 全児童-2025年6月'!E46,17,1,"〇"),MID('予定・実績管理 全児童-2025年6月'!E46,LEN('予定・実績管理 全児童-2025年6月'!E46)-1,1),"〇"),"")</f>
        <v>17:45-19:25 [放] 〇木 〇汰</v>
      </c>
      <c r="F46" s="13" t="str">
        <f>IF('予定・実績管理 全児童-2025年6月'!F46&lt;&gt;"",SUBSTITUTE(REPLACE('予定・実績管理 全児童-2025年6月'!F46,17,1,"〇"),MID('予定・実績管理 全児童-2025年6月'!F46,LEN('予定・実績管理 全児童-2025年6月'!F46)-1,1),"〇"),"")</f>
        <v>17:45-19:25 [放] 〇山 〇弥</v>
      </c>
      <c r="G46" s="13" t="str">
        <f>IF('予定・実績管理 全児童-2025年6月'!G46&lt;&gt;"",SUBSTITUTE(REPLACE('予定・実績管理 全児童-2025年6月'!G46,17,1,"〇"),MID('予定・実績管理 全児童-2025年6月'!G46,LEN('予定・実績管理 全児童-2025年6月'!G46)-1,1),"〇"),"")</f>
        <v>15:00-16:40 [放] 〇藤 〇斗</v>
      </c>
    </row>
    <row r="47" spans="1:7" ht="38.1" customHeight="1">
      <c r="A47" s="13"/>
      <c r="B47" s="13" t="str">
        <f>IF('予定・実績管理 全児童-2025年6月'!B47&lt;&gt;"",SUBSTITUTE(REPLACE('予定・実績管理 全児童-2025年6月'!B47,17,1,"〇"),MID('予定・実績管理 全児童-2025年6月'!B47,LEN('予定・実績管理 全児童-2025年6月'!B47)-1,1),"〇"),"")</f>
        <v>17:45-19:25 [放] 〇西 〇生</v>
      </c>
      <c r="C47" s="13" t="str">
        <f>IF('予定・実績管理 全児童-2025年6月'!C47&lt;&gt;"",SUBSTITUTE(REPLACE('予定・実績管理 全児童-2025年6月'!C47,17,1,"〇"),MID('予定・実績管理 全児童-2025年6月'!C47,LEN('予定・実績管理 全児童-2025年6月'!C47)-1,1),"〇"),"")</f>
        <v>17:45-19:25 [放] 〇斐 希〇花</v>
      </c>
      <c r="D47" s="13" t="str">
        <f>IF('予定・実績管理 全児童-2025年6月'!D47&lt;&gt;"",SUBSTITUTE(REPLACE('予定・実績管理 全児童-2025年6月'!D47,17,1,"〇"),MID('予定・実績管理 全児童-2025年6月'!D47,LEN('予定・実績管理 全児童-2025年6月'!D47)-1,1),"〇"),"")</f>
        <v>17:45-19:25 [放] 〇農 〇芽</v>
      </c>
      <c r="E47" s="13" t="str">
        <f>IF('予定・実績管理 全児童-2025年6月'!E47&lt;&gt;"",SUBSTITUTE(REPLACE('予定・実績管理 全児童-2025年6月'!E47,17,1,"〇"),MID('予定・実績管理 全児童-2025年6月'!E47,LEN('予定・実績管理 全児童-2025年6月'!E47)-1,1),"〇"),"")</f>
        <v>17:45-19:25 [放] 〇蔵原 〇大</v>
      </c>
      <c r="F47" s="13" t="str">
        <f>IF('予定・実績管理 全児童-2025年6月'!F47&lt;&gt;"",SUBSTITUTE(REPLACE('予定・実績管理 全児童-2025年6月'!F47,17,1,"〇"),MID('予定・実績管理 全児童-2025年6月'!F47,LEN('予定・実績管理 全児童-2025年6月'!F47)-1,1),"〇"),"")</f>
        <v>17:45-19:25 [放] 〇田 〇希</v>
      </c>
      <c r="G47" s="13" t="str">
        <f>IF('予定・実績管理 全児童-2025年6月'!G47&lt;&gt;"",SUBSTITUTE(REPLACE('予定・実績管理 全児童-2025年6月'!G47,17,1,"〇"),MID('予定・実績管理 全児童-2025年6月'!G47,LEN('予定・実績管理 全児童-2025年6月'!G47)-1,1),"〇"),"")</f>
        <v>15:00-16:40 [放] 〇路 〇夢</v>
      </c>
    </row>
    <row r="48" spans="1:7" ht="38.1" customHeight="1">
      <c r="A48" s="13"/>
      <c r="B48" s="13" t="str">
        <f>IF('予定・実績管理 全児童-2025年6月'!B48&lt;&gt;"",SUBSTITUTE(REPLACE('予定・実績管理 全児童-2025年6月'!B48,17,1,"〇"),MID('予定・実績管理 全児童-2025年6月'!B48,LEN('予定・実績管理 全児童-2025年6月'!B48)-1,1),"〇"),"")</f>
        <v>17:45-19:25 [放] 〇岡 〇太</v>
      </c>
      <c r="C48" s="13" t="str">
        <f>IF('予定・実績管理 全児童-2025年6月'!C48&lt;&gt;"",SUBSTITUTE(REPLACE('予定・実績管理 全児童-2025年6月'!C48,17,1,"〇"),MID('予定・実績管理 全児童-2025年6月'!C48,LEN('予定・実績管理 全児童-2025年6月'!C48)-1,1),"〇"),"")</f>
        <v>17:45-19:25 [放] 〇斐 〇惺</v>
      </c>
      <c r="D48" s="13" t="str">
        <f>IF('予定・実績管理 全児童-2025年6月'!D48&lt;&gt;"",SUBSTITUTE(REPLACE('予定・実績管理 全児童-2025年6月'!D48,17,1,"〇"),MID('予定・実績管理 全児童-2025年6月'!D48,LEN('予定・実績管理 全児童-2025年6月'!D48)-1,1),"〇"),"")</f>
        <v>17:45-19:25 [放] 〇田 〇音</v>
      </c>
      <c r="E48" s="13" t="str">
        <f>IF('予定・実績管理 全児童-2025年6月'!E48&lt;&gt;"",SUBSTITUTE(REPLACE('予定・実績管理 全児童-2025年6月'!E48,17,1,"〇"),MID('予定・実績管理 全児童-2025年6月'!E48,LEN('予定・実績管理 全児童-2025年6月'!E48)-1,1),"〇"),"")</f>
        <v>17:45-19:25 [放] 〇藤 〇祐</v>
      </c>
      <c r="F48" s="13" t="str">
        <f>IF('予定・実績管理 全児童-2025年6月'!F48&lt;&gt;"",SUBSTITUTE(REPLACE('予定・実績管理 全児童-2025年6月'!F48,17,1,"〇"),MID('予定・実績管理 全児童-2025年6月'!F48,LEN('予定・実績管理 全児童-2025年6月'!F48)-1,1),"〇"),"")</f>
        <v>17:45-19:25〇[放]〇〇水〇悠</v>
      </c>
      <c r="G48" s="13" t="str">
        <f>IF('予定・実績管理 全児童-2025年6月'!G48&lt;&gt;"",SUBSTITUTE(REPLACE('予定・実績管理 全児童-2025年6月'!G48,17,1,"〇"),MID('予定・実績管理 全児童-2025年6月'!G48,LEN('予定・実績管理 全児童-2025年6月'!G48)-1,1),"〇"),"")</f>
        <v>15:00-16:40 [放] 〇山 〇渡</v>
      </c>
    </row>
    <row r="49" spans="1:7" ht="38.1" customHeight="1">
      <c r="A49" s="13"/>
      <c r="B49" s="13" t="str">
        <f>IF('予定・実績管理 全児童-2025年6月'!B49&lt;&gt;"",SUBSTITUTE(REPLACE('予定・実績管理 全児童-2025年6月'!B49,17,1,"〇"),MID('予定・実績管理 全児童-2025年6月'!B49,LEN('予定・実績管理 全児童-2025年6月'!B49)-1,1),"〇"),"")</f>
        <v>17:45-19:25 [放] 〇 航〇朗</v>
      </c>
      <c r="C49" s="13" t="str">
        <f>IF('予定・実績管理 全児童-2025年6月'!C49&lt;&gt;"",SUBSTITUTE(REPLACE('予定・実績管理 全児童-2025年6月'!C49,17,1,"〇"),MID('予定・実績管理 全児童-2025年6月'!C49,LEN('予定・実績管理 全児童-2025年6月'!C49)-1,1),"〇"),"")</f>
        <v>17:45-19:25〇[放]〇〇迫〇紡</v>
      </c>
      <c r="D49" s="13" t="str">
        <f>IF('予定・実績管理 全児童-2025年6月'!D49&lt;&gt;"",SUBSTITUTE(REPLACE('予定・実績管理 全児童-2025年6月'!D49,17,1,"〇"),MID('予定・実績管理 全児童-2025年6月'!D49,LEN('予定・実績管理 全児童-2025年6月'!D49)-1,1),"〇"),"")</f>
        <v>17:45-19:25 [放] 〇口 〇己</v>
      </c>
      <c r="E49" s="13" t="str">
        <f>IF('予定・実績管理 全児童-2025年6月'!E49&lt;&gt;"",SUBSTITUTE(REPLACE('予定・実績管理 全児童-2025年6月'!E49,17,1,"〇"),MID('予定・実績管理 全児童-2025年6月'!E49,LEN('予定・実績管理 全児童-2025年6月'!E49)-1,1),"〇"),"")</f>
        <v>17:45-19:25 [放] 〇田 〇音</v>
      </c>
      <c r="F49" s="13" t="str">
        <f>IF('予定・実績管理 全児童-2025年6月'!F49&lt;&gt;"",SUBSTITUTE(REPLACE('予定・実績管理 全児童-2025年6月'!F49,17,1,"〇"),MID('予定・実績管理 全児童-2025年6月'!F49,LEN('予定・実績管理 全児童-2025年6月'!F49)-1,1),"〇"),"")</f>
        <v>17:45-19:25 [放] 〇野 〇海</v>
      </c>
      <c r="G49" s="13" t="str">
        <f>IF('予定・実績管理 全児童-2025年6月'!G49&lt;&gt;"",SUBSTITUTE(REPLACE('予定・実績管理 全児童-2025年6月'!G49,17,1,"〇"),MID('予定・実績管理 全児童-2025年6月'!G49,LEN('予定・実績管理 全児童-2025年6月'!G49)-1,1),"〇"),"")</f>
        <v>15:00-16:40 [放] 〇山 〇美</v>
      </c>
    </row>
    <row r="50" spans="1:7" ht="38.1" customHeight="1">
      <c r="A50" s="13"/>
      <c r="B50" s="13" t="str">
        <f>IF('予定・実績管理 全児童-2025年6月'!B50&lt;&gt;"",SUBSTITUTE(REPLACE('予定・実績管理 全児童-2025年6月'!B50,17,1,"〇"),MID('予定・実績管理 全児童-2025年6月'!B50,LEN('予定・実績管理 全児童-2025年6月'!B50)-1,1),"〇"),"")</f>
        <v/>
      </c>
      <c r="C50" s="13" t="str">
        <f>IF('予定・実績管理 全児童-2025年6月'!C50&lt;&gt;"",SUBSTITUTE(REPLACE('予定・実績管理 全児童-2025年6月'!C50,17,1,"〇"),MID('予定・実績管理 全児童-2025年6月'!C50,LEN('予定・実績管理 全児童-2025年6月'!C50)-1,1),"〇"),"")</f>
        <v>17:45-19:25 [放] 〇浦 〇貴</v>
      </c>
      <c r="D50" s="13" t="str">
        <f>IF('予定・実績管理 全児童-2025年6月'!D50&lt;&gt;"",SUBSTITUTE(REPLACE('予定・実績管理 全児童-2025年6月'!D50,17,1,"〇"),MID('予定・実績管理 全児童-2025年6月'!D50,LEN('予定・実績管理 全児童-2025年6月'!D50)-1,1),"〇"),"")</f>
        <v>17:45-19:25 [放] 〇 〇希</v>
      </c>
      <c r="E50" s="13" t="str">
        <f>IF('予定・実績管理 全児童-2025年6月'!E50&lt;&gt;"",SUBSTITUTE(REPLACE('予定・実績管理 全児童-2025年6月'!E50,17,1,"〇"),MID('予定・実績管理 全児童-2025年6月'!E50,LEN('予定・実績管理 全児童-2025年6月'!E50)-1,1),"〇"),"")</f>
        <v>17:45-19:25 [放] 〇山 紘〇朗</v>
      </c>
      <c r="F50" s="13" t="str">
        <f>IF('予定・実績管理 全児童-2025年6月'!F50&lt;&gt;"",SUBSTITUTE(REPLACE('予定・実績管理 全児童-2025年6月'!F50,17,1,"〇"),MID('予定・実績管理 全児童-2025年6月'!F50,LEN('予定・実績管理 全児童-2025年6月'!F50)-1,1),"〇"),"")</f>
        <v>17:45-19:25 [放] 〇野 〇子</v>
      </c>
      <c r="G50" s="13" t="str">
        <f>IF('予定・実績管理 全児童-2025年6月'!G50&lt;&gt;"",SUBSTITUTE(REPLACE('予定・実績管理 全児童-2025年6月'!G50,17,1,"〇"),MID('予定・実績管理 全児童-2025年6月'!G50,LEN('予定・実績管理 全児童-2025年6月'!G50)-1,1),"〇"),"")</f>
        <v/>
      </c>
    </row>
    <row r="51" spans="1:7" ht="38.1" customHeight="1">
      <c r="A51" s="13"/>
      <c r="B51" s="13" t="str">
        <f>IF('予定・実績管理 全児童-2025年6月'!B51&lt;&gt;"",SUBSTITUTE(REPLACE('予定・実績管理 全児童-2025年6月'!B51,17,1,"〇"),MID('予定・実績管理 全児童-2025年6月'!B51,LEN('予定・実績管理 全児童-2025年6月'!B51)-1,1),"〇"),"")</f>
        <v/>
      </c>
      <c r="C51" s="13" t="str">
        <f>IF('予定・実績管理 全児童-2025年6月'!C51&lt;&gt;"",SUBSTITUTE(REPLACE('予定・実績管理 全児童-2025年6月'!C51,17,1,"〇"),MID('予定・実績管理 全児童-2025年6月'!C51,LEN('予定・実績管理 全児童-2025年6月'!C51)-1,1),"〇"),"")</f>
        <v>17:45-19:25 [放] 〇原 〇晴</v>
      </c>
      <c r="D51" s="13" t="str">
        <f>IF('予定・実績管理 全児童-2025年6月'!D51&lt;&gt;"",SUBSTITUTE(REPLACE('予定・実績管理 全児童-2025年6月'!D51,17,1,"〇"),MID('予定・実績管理 全児童-2025年6月'!D51,LEN('予定・実績管理 全児童-2025年6月'!D51)-1,1),"〇"),"")</f>
        <v/>
      </c>
      <c r="E51" s="13" t="str">
        <f>IF('予定・実績管理 全児童-2025年6月'!E51&lt;&gt;"",SUBSTITUTE(REPLACE('予定・実績管理 全児童-2025年6月'!E51,17,1,"〇"),MID('予定・実績管理 全児童-2025年6月'!E51,LEN('予定・実績管理 全児童-2025年6月'!E51)-1,1),"〇"),"")</f>
        <v/>
      </c>
      <c r="F51" s="13" t="str">
        <f>IF('予定・実績管理 全児童-2025年6月'!F51&lt;&gt;"",SUBSTITUTE(REPLACE('予定・実績管理 全児童-2025年6月'!F51,17,1,"〇"),MID('予定・実績管理 全児童-2025年6月'!F51,LEN('予定・実績管理 全児童-2025年6月'!F51)-1,1),"〇"),"")</f>
        <v>17:45-19:25 [放] 〇岡 〇希</v>
      </c>
      <c r="G51" s="13" t="str">
        <f>IF('予定・実績管理 全児童-2025年6月'!G51&lt;&gt;"",SUBSTITUTE(REPLACE('予定・実績管理 全児童-2025年6月'!G51,17,1,"〇"),MID('予定・実績管理 全児童-2025年6月'!G51,LEN('予定・実績管理 全児童-2025年6月'!G51)-1,1),"〇"),"")</f>
        <v/>
      </c>
    </row>
    <row r="52" spans="1:7" ht="38.1" customHeight="1">
      <c r="A52" s="13"/>
      <c r="B52" s="13" t="str">
        <f>IF('予定・実績管理 全児童-2025年6月'!B52&lt;&gt;"",SUBSTITUTE(REPLACE('予定・実績管理 全児童-2025年6月'!B52,17,1,"〇"),MID('予定・実績管理 全児童-2025年6月'!B52,LEN('予定・実績管理 全児童-2025年6月'!B52)-1,1),"〇"),"")</f>
        <v/>
      </c>
      <c r="C52" s="13" t="str">
        <f>IF('予定・実績管理 全児童-2025年6月'!C52&lt;&gt;"",SUBSTITUTE(REPLACE('予定・実績管理 全児童-2025年6月'!C52,17,1,"〇"),MID('予定・実績管理 全児童-2025年6月'!C52,LEN('予定・実績管理 全児童-2025年6月'!C52)-1,1),"〇"),"")</f>
        <v>17:45-19:25 [放] 〇井 〇偉</v>
      </c>
      <c r="D52" s="13" t="str">
        <f>IF('予定・実績管理 全児童-2025年6月'!D52&lt;&gt;"",SUBSTITUTE(REPLACE('予定・実績管理 全児童-2025年6月'!D52,17,1,"〇"),MID('予定・実績管理 全児童-2025年6月'!D52,LEN('予定・実績管理 全児童-2025年6月'!D52)-1,1),"〇"),"")</f>
        <v/>
      </c>
      <c r="E52" s="13" t="str">
        <f>IF('予定・実績管理 全児童-2025年6月'!E52&lt;&gt;"",SUBSTITUTE(REPLACE('予定・実績管理 全児童-2025年6月'!E52,17,1,"〇"),MID('予定・実績管理 全児童-2025年6月'!E52,LEN('予定・実績管理 全児童-2025年6月'!E52)-1,1),"〇"),"")</f>
        <v/>
      </c>
      <c r="F52" s="13" t="str">
        <f>IF('予定・実績管理 全児童-2025年6月'!F52&lt;&gt;"",SUBSTITUTE(REPLACE('予定・実績管理 全児童-2025年6月'!F52,17,1,"〇"),MID('予定・実績管理 全児童-2025年6月'!F52,LEN('予定・実績管理 全児童-2025年6月'!F52)-1,1),"〇"),"")</f>
        <v>17:45-19:25〇[放]〇〇岡〇雫</v>
      </c>
      <c r="G52" s="13" t="str">
        <f>IF('予定・実績管理 全児童-2025年6月'!G52&lt;&gt;"",SUBSTITUTE(REPLACE('予定・実績管理 全児童-2025年6月'!G52,17,1,"〇"),MID('予定・実績管理 全児童-2025年6月'!G52,LEN('予定・実績管理 全児童-2025年6月'!G52)-1,1),"〇"),"")</f>
        <v/>
      </c>
    </row>
    <row r="53" spans="1:7" ht="38.1" customHeight="1">
      <c r="A53" s="13"/>
      <c r="B53" s="13" t="str">
        <f>IF('予定・実績管理 全児童-2025年6月'!B53&lt;&gt;"",SUBSTITUTE(REPLACE('予定・実績管理 全児童-2025年6月'!B53,17,1,"〇"),MID('予定・実績管理 全児童-2025年6月'!B53,LEN('予定・実績管理 全児童-2025年6月'!B53)-1,1),"〇"),"")</f>
        <v/>
      </c>
      <c r="C53" s="13" t="str">
        <f>IF('予定・実績管理 全児童-2025年6月'!C53&lt;&gt;"",SUBSTITUTE(REPLACE('予定・実績管理 全児童-2025年6月'!C53,17,1,"〇"),MID('予定・実績管理 全児童-2025年6月'!C53,LEN('予定・実績管理 全児童-2025年6月'!C53)-1,1),"〇"),"")</f>
        <v>17:45-19:25 [放] 〇尾 〇斗</v>
      </c>
      <c r="D53" s="13" t="str">
        <f>IF('予定・実績管理 全児童-2025年6月'!D53&lt;&gt;"",SUBSTITUTE(REPLACE('予定・実績管理 全児童-2025年6月'!D53,17,1,"〇"),MID('予定・実績管理 全児童-2025年6月'!D53,LEN('予定・実績管理 全児童-2025年6月'!D53)-1,1),"〇"),"")</f>
        <v/>
      </c>
      <c r="E53" s="13" t="str">
        <f>IF('予定・実績管理 全児童-2025年6月'!E53&lt;&gt;"",SUBSTITUTE(REPLACE('予定・実績管理 全児童-2025年6月'!E53,17,1,"〇"),MID('予定・実績管理 全児童-2025年6月'!E53,LEN('予定・実績管理 全児童-2025年6月'!E53)-1,1),"〇"),"")</f>
        <v/>
      </c>
      <c r="F53" s="13" t="str">
        <f>IF('予定・実績管理 全児童-2025年6月'!F53&lt;&gt;"",SUBSTITUTE(REPLACE('予定・実績管理 全児童-2025年6月'!F53,17,1,"〇"),MID('予定・実績管理 全児童-2025年6月'!F53,LEN('予定・実績管理 全児童-2025年6月'!F53)-1,1),"〇"),"")</f>
        <v/>
      </c>
      <c r="G53" s="13" t="str">
        <f>IF('予定・実績管理 全児童-2025年6月'!G53&lt;&gt;"",SUBSTITUTE(REPLACE('予定・実績管理 全児童-2025年6月'!G53,17,1,"〇"),MID('予定・実績管理 全児童-2025年6月'!G53,LEN('予定・実績管理 全児童-2025年6月'!G53)-1,1),"〇"),"")</f>
        <v/>
      </c>
    </row>
    <row r="54" spans="1:7" ht="75.95" customHeight="1">
      <c r="A54" s="14"/>
      <c r="B54" s="13" t="str">
        <f>IF('予定・実績管理 全児童-2025年6月'!B54&lt;&gt;"",SUBSTITUTE(REPLACE('予定・実績管理 全児童-2025年6月'!B54,17,1,"〇"),MID('予定・実績管理 全児童-2025年6月'!B54,LEN('予定・実績管理 全児童-2025年6月'!B54)-1,1),"〇"),"")</f>
        <v/>
      </c>
      <c r="C54" s="13" t="str">
        <f>IF('予定・実績管理 全児童-2025年6月'!C54&lt;&gt;"",SUBSTITUTE(REPLACE('予定・実績管理 全児童-2025年6月'!C54,17,1,"〇"),MID('予定・実績管理 全児童-2025年6月'!C54,LEN('予定・実績管理 全児童-2025年6月'!C54)-1,1),"〇"),"")</f>
        <v/>
      </c>
      <c r="D54" s="13" t="str">
        <f>IF('予定・実績管理 全児童-2025年6月'!D54&lt;&gt;"",SUBSTITUTE(REPLACE('予定・実績管理 全児童-2025年6月'!D54,17,1,"〇"),MID('予定・実績管理 全児童-2025年6月'!D54,LEN('予定・実績管理 全児童-2025年6月'!D54)-1,1),"〇"),"")</f>
        <v/>
      </c>
      <c r="E54" s="13" t="str">
        <f>IF('予定・実績管理 全児童-2025年6月'!E54&lt;&gt;"",SUBSTITUTE(REPLACE('予定・実績管理 全児童-2025年6月'!E54,17,1,"〇"),MID('予定・実績管理 全児童-2025年6月'!E54,LEN('予定・実績管理 全児童-2025年6月'!E54)-1,1),"〇"),"")</f>
        <v/>
      </c>
      <c r="F54" s="13" t="str">
        <f>IF('予定・実績管理 全児童-2025年6月'!F54&lt;&gt;"",SUBSTITUTE(REPLACE('予定・実績管理 全児童-2025年6月'!F54,17,1,"〇"),MID('予定・実績管理 全児童-2025年6月'!F54,LEN('予定・実績管理 全児童-2025年6月'!F54)-1,1),"〇"),"")</f>
        <v/>
      </c>
      <c r="G54" s="13" t="str">
        <f>IF('予定・実績管理 全児童-2025年6月'!G54&lt;&gt;"",SUBSTITUTE(REPLACE('予定・実績管理 全児童-2025年6月'!G54,17,1,"〇"),MID('予定・実績管理 全児童-2025年6月'!G54,LEN('予定・実績管理 全児童-2025年6月'!G54)-1,1),"〇"),"")</f>
        <v/>
      </c>
    </row>
    <row r="55" spans="1:7" ht="30" customHeight="1">
      <c r="A55" s="12">
        <v>22</v>
      </c>
      <c r="B55" s="12">
        <v>23</v>
      </c>
      <c r="C55" s="12">
        <v>24</v>
      </c>
      <c r="D55" s="12">
        <v>25</v>
      </c>
      <c r="E55" s="12">
        <v>26</v>
      </c>
      <c r="F55" s="12">
        <v>27</v>
      </c>
      <c r="G55" s="12">
        <v>28</v>
      </c>
    </row>
    <row r="56" spans="1:7" ht="38.1" customHeight="1">
      <c r="A56" s="13"/>
      <c r="B56" s="13" t="str">
        <f>IF('予定・実績管理 全児童-2025年6月'!B56&lt;&gt;"",SUBSTITUTE(REPLACE('予定・実績管理 全児童-2025年6月'!B56,17,1,"〇"),MID('予定・実績管理 全児童-2025年6月'!B56,LEN('予定・実績管理 全児童-2025年6月'!B56)-1,1),"〇"),"")</f>
        <v>14:00-15:40 [放] 〇口 〇舞</v>
      </c>
      <c r="C56" s="13" t="str">
        <f>IF('予定・実績管理 全児童-2025年6月'!C56&lt;&gt;"",SUBSTITUTE(REPLACE('予定・実績管理 全児童-2025年6月'!C56,17,1,"〇"),MID('予定・実績管理 全児童-2025年6月'!C56,LEN('予定・実績管理 全児童-2025年6月'!C56)-1,1),"〇"),"")</f>
        <v>14:20-16:00 [放] 〇矢 〇穂</v>
      </c>
      <c r="D56" s="13" t="str">
        <f>IF('予定・実績管理 全児童-2025年6月'!D56&lt;&gt;"",SUBSTITUTE(REPLACE('予定・実績管理 全児童-2025年6月'!D56,17,1,"〇"),MID('予定・実績管理 全児童-2025年6月'!D56,LEN('予定・実績管理 全児童-2025年6月'!D56)-1,1),"〇"),"")</f>
        <v>14:00-15:40 [放] 〇矢 〇穂</v>
      </c>
      <c r="E56" s="13" t="str">
        <f>IF('予定・実績管理 全児童-2025年6月'!E56&lt;&gt;"",SUBSTITUTE(REPLACE('予定・実績管理 全児童-2025年6月'!E56,17,1,"〇"),MID('予定・実績管理 全児童-2025年6月'!E56,LEN('予定・実績管理 全児童-2025年6月'!E56)-1,1),"〇"),"")</f>
        <v>14:20-16:00 [放] 〇村 〇花</v>
      </c>
      <c r="F56" s="13" t="str">
        <f>IF('予定・実績管理 全児童-2025年6月'!F56&lt;&gt;"",SUBSTITUTE(REPLACE('予定・実績管理 全児童-2025年6月'!F56,17,1,"〇"),MID('予定・実績管理 全児童-2025年6月'!F56,LEN('予定・実績管理 全児童-2025年6月'!F56)-1,1),"〇"),"")</f>
        <v>16:00-17:40 [放] 〇本 〇真</v>
      </c>
      <c r="G56" s="13" t="str">
        <f>IF('予定・実績管理 全児童-2025年6月'!G56&lt;&gt;"",SUBSTITUTE(REPLACE('予定・実績管理 全児童-2025年6月'!G56,17,1,"〇"),MID('予定・実績管理 全児童-2025年6月'!G56,LEN('予定・実績管理 全児童-2025年6月'!G56)-1,1),"〇"),"")</f>
        <v>10:15-11:55 [放] 〇藤 〇向</v>
      </c>
    </row>
    <row r="57" spans="1:7" ht="38.1" customHeight="1">
      <c r="A57" s="13"/>
      <c r="B57" s="13" t="str">
        <f>IF('予定・実績管理 全児童-2025年6月'!B57&lt;&gt;"",SUBSTITUTE(REPLACE('予定・実績管理 全児童-2025年6月'!B57,17,1,"〇"),MID('予定・実績管理 全児童-2025年6月'!B57,LEN('予定・実績管理 全児童-2025年6月'!B57)-1,1),"〇"),"")</f>
        <v>16:00-17:40 [放] 〇本 〇成</v>
      </c>
      <c r="C57" s="13" t="str">
        <f>IF('予定・実績管理 全児童-2025年6月'!C57&lt;&gt;"",SUBSTITUTE(REPLACE('予定・実績管理 全児童-2025年6月'!C57,17,1,"〇"),MID('予定・実績管理 全児童-2025年6月'!C57,LEN('予定・実績管理 全児童-2025年6月'!C57)-1,1),"〇"),"")</f>
        <v>16:00-17:40 [放] 〇野 〇悟</v>
      </c>
      <c r="D57" s="13" t="str">
        <f>IF('予定・実績管理 全児童-2025年6月'!D57&lt;&gt;"",SUBSTITUTE(REPLACE('予定・実績管理 全児童-2025年6月'!D57,17,1,"〇"),MID('予定・実績管理 全児童-2025年6月'!D57,LEN('予定・実績管理 全児童-2025年6月'!D57)-1,1),"〇"),"")</f>
        <v>16:00-17:40〇[放]〇〇笠原〇駿</v>
      </c>
      <c r="E57" s="13" t="str">
        <f>IF('予定・実績管理 全児童-2025年6月'!E57&lt;&gt;"",SUBSTITUTE(REPLACE('予定・実績管理 全児童-2025年6月'!E57,17,1,"〇"),MID('予定・実績管理 全児童-2025年6月'!E57,LEN('予定・実績管理 全児童-2025年6月'!E57)-1,1),"〇"),"")</f>
        <v>16:00-17:40 [放] 〇田 〇真</v>
      </c>
      <c r="F57" s="13" t="str">
        <f>IF('予定・実績管理 全児童-2025年6月'!F57&lt;&gt;"",SUBSTITUTE(REPLACE('予定・実績管理 全児童-2025年6月'!F57,17,1,"〇"),MID('予定・実績管理 全児童-2025年6月'!F57,LEN('予定・実績管理 全児童-2025年6月'!F57)-1,1),"〇"),"")</f>
        <v>16:00-17:40 [放] 〇田 〇生</v>
      </c>
      <c r="G57" s="13" t="str">
        <f>IF('予定・実績管理 全児童-2025年6月'!G57&lt;&gt;"",SUBSTITUTE(REPLACE('予定・実績管理 全児童-2025年6月'!G57,17,1,"〇"),MID('予定・実績管理 全児童-2025年6月'!G57,LEN('予定・実績管理 全児童-2025年6月'!G57)-1,1),"〇"),"")</f>
        <v>10:15-11:55 [放] 〇柳 〇輝</v>
      </c>
    </row>
    <row r="58" spans="1:7" ht="38.1" customHeight="1">
      <c r="A58" s="13"/>
      <c r="B58" s="13" t="str">
        <f>IF('予定・実績管理 全児童-2025年6月'!B58&lt;&gt;"",SUBSTITUTE(REPLACE('予定・実績管理 全児童-2025年6月'!B58,17,1,"〇"),MID('予定・実績管理 全児童-2025年6月'!B58,LEN('予定・実績管理 全児童-2025年6月'!B58)-1,1),"〇"),"")</f>
        <v>16:00-17:40 [放] 〇見渕 〇吾</v>
      </c>
      <c r="C58" s="13" t="str">
        <f>IF('予定・実績管理 全児童-2025年6月'!C58&lt;&gt;"",SUBSTITUTE(REPLACE('予定・実績管理 全児童-2025年6月'!C58,17,1,"〇"),MID('予定・実績管理 全児童-2025年6月'!C58,LEN('予定・実績管理 全児童-2025年6月'!C58)-1,1),"〇"),"")</f>
        <v>16:00-17:40 [放] 〇田 〇世</v>
      </c>
      <c r="D58" s="13" t="str">
        <f>IF('予定・実績管理 全児童-2025年6月'!D58&lt;&gt;"",SUBSTITUTE(REPLACE('予定・実績管理 全児童-2025年6月'!D58,17,1,"〇"),MID('予定・実績管理 全児童-2025年6月'!D58,LEN('予定・実績管理 全児童-2025年6月'!D58)-1,1),"〇"),"")</f>
        <v>16:00-17:40 [放] 〇本 〇佑</v>
      </c>
      <c r="E58" s="13" t="str">
        <f>IF('予定・実績管理 全児童-2025年6月'!E58&lt;&gt;"",SUBSTITUTE(REPLACE('予定・実績管理 全児童-2025年6月'!E58,17,1,"〇"),MID('予定・実績管理 全児童-2025年6月'!E58,LEN('予定・実績管理 全児童-2025年6月'!E58)-1,1),"〇"),"")</f>
        <v>16:00-17:40 [放] 〇田 〇翔</v>
      </c>
      <c r="F58" s="13" t="str">
        <f>IF('予定・実績管理 全児童-2025年6月'!F58&lt;&gt;"",SUBSTITUTE(REPLACE('予定・実績管理 全児童-2025年6月'!F58,17,1,"〇"),MID('予定・実績管理 全児童-2025年6月'!F58,LEN('予定・実績管理 全児童-2025年6月'!F58)-1,1),"〇"),"")</f>
        <v>16:00-17:40 [放] 〇井 〇郁</v>
      </c>
      <c r="G58" s="13" t="str">
        <f>IF('予定・実績管理 全児童-2025年6月'!G58&lt;&gt;"",SUBSTITUTE(REPLACE('予定・実績管理 全児童-2025年6月'!G58,17,1,"〇"),MID('予定・実績管理 全児童-2025年6月'!G58,LEN('予定・実績管理 全児童-2025年6月'!G58)-1,1),"〇"),"")</f>
        <v>10:15-11:55 [放] 〇元 〇太</v>
      </c>
    </row>
    <row r="59" spans="1:7" ht="38.1" customHeight="1">
      <c r="A59" s="13"/>
      <c r="B59" s="13" t="str">
        <f>IF('予定・実績管理 全児童-2025年6月'!B59&lt;&gt;"",SUBSTITUTE(REPLACE('予定・実績管理 全児童-2025年6月'!B59,17,1,"〇"),MID('予定・実績管理 全児童-2025年6月'!B59,LEN('予定・実績管理 全児童-2025年6月'!B59)-1,1),"〇"),"")</f>
        <v>16:00-17:40 [放] 〇前 〇伎</v>
      </c>
      <c r="C59" s="13" t="str">
        <f>IF('予定・実績管理 全児童-2025年6月'!C59&lt;&gt;"",SUBSTITUTE(REPLACE('予定・実績管理 全児童-2025年6月'!C59,17,1,"〇"),MID('予定・実績管理 全児童-2025年6月'!C59,LEN('予定・実績管理 全児童-2025年6月'!C59)-1,1),"〇"),"")</f>
        <v>16:00-17:40 [放] 〇原 蒼〇朗</v>
      </c>
      <c r="D59" s="13" t="str">
        <f>IF('予定・実績管理 全児童-2025年6月'!D59&lt;&gt;"",SUBSTITUTE(REPLACE('予定・実績管理 全児童-2025年6月'!D59,17,1,"〇"),MID('予定・実績管理 全児童-2025年6月'!D59,LEN('予定・実績管理 全児童-2025年6月'!D59)-1,1),"〇"),"")</f>
        <v>16:00-17:40 [放] 〇井 〇郁</v>
      </c>
      <c r="E59" s="13" t="str">
        <f>IF('予定・実績管理 全児童-2025年6月'!E59&lt;&gt;"",SUBSTITUTE(REPLACE('予定・実績管理 全児童-2025年6月'!E59,17,1,"〇"),MID('予定・実績管理 全児童-2025年6月'!E59,LEN('予定・実績管理 全児童-2025年6月'!E59)-1,1),"〇"),"")</f>
        <v>16:00-17:40 [放] 〇村 〇人</v>
      </c>
      <c r="F59" s="13" t="str">
        <f>IF('予定・実績管理 全児童-2025年6月'!F59&lt;&gt;"",SUBSTITUTE(REPLACE('予定・実績管理 全児童-2025年6月'!F59,17,1,"〇"),MID('予定・実績管理 全児童-2025年6月'!F59,LEN('予定・実績管理 全児童-2025年6月'!F59)-1,1),"〇"),"")</f>
        <v>16:00-17:40〇[放]〇〇井〇翼</v>
      </c>
      <c r="G59" s="13" t="str">
        <f>IF('予定・実績管理 全児童-2025年6月'!G59&lt;&gt;"",SUBSTITUTE(REPLACE('予定・実績管理 全児童-2025年6月'!G59,17,1,"〇"),MID('予定・実績管理 全児童-2025年6月'!G59,LEN('予定・実績管理 全児童-2025年6月'!G59)-1,1),"〇"),"")</f>
        <v>10:15-11:55 [放] 〇田 〇生</v>
      </c>
    </row>
    <row r="60" spans="1:7" ht="38.1" customHeight="1">
      <c r="A60" s="13"/>
      <c r="B60" s="13" t="str">
        <f>IF('予定・実績管理 全児童-2025年6月'!B60&lt;&gt;"",SUBSTITUTE(REPLACE('予定・実績管理 全児童-2025年6月'!B60,17,1,"〇"),MID('予定・実績管理 全児童-2025年6月'!B60,LEN('予定・実績管理 全児童-2025年6月'!B60)-1,1),"〇"),"")</f>
        <v>16:00-17:40 [放] 〇上 〇太</v>
      </c>
      <c r="C60" s="13" t="str">
        <f>IF('予定・実績管理 全児童-2025年6月'!C60&lt;&gt;"",SUBSTITUTE(REPLACE('予定・実績管理 全児童-2025年6月'!C60,17,1,"〇"),MID('予定・実績管理 全児童-2025年6月'!C60,LEN('予定・実績管理 全児童-2025年6月'!C60)-1,1),"〇"),"")</f>
        <v>16:00-17:40 [放] 〇西 〇偉</v>
      </c>
      <c r="D60" s="13" t="str">
        <f>IF('予定・実績管理 全児童-2025年6月'!D60&lt;&gt;"",SUBSTITUTE(REPLACE('予定・実績管理 全児童-2025年6月'!D60,17,1,"〇"),MID('予定・実績管理 全児童-2025年6月'!D60,LEN('予定・実績管理 全児童-2025年6月'!D60)-1,1),"〇"),"")</f>
        <v>16:00-17:40〇[放]〇〇本〇聖</v>
      </c>
      <c r="E60" s="13" t="str">
        <f>IF('予定・実績管理 全児童-2025年6月'!E60&lt;&gt;"",SUBSTITUTE(REPLACE('予定・実績管理 全児童-2025年6月'!E60,17,1,"〇"),MID('予定・実績管理 全児童-2025年6月'!E60,LEN('予定・実績管理 全児童-2025年6月'!E60)-1,1),"〇"),"")</f>
        <v>17:45-19:25 [放] 〇藤 〇人</v>
      </c>
      <c r="F60" s="13" t="str">
        <f>IF('予定・実績管理 全児童-2025年6月'!F60&lt;&gt;"",SUBSTITUTE(REPLACE('予定・実績管理 全児童-2025年6月'!F60,17,1,"〇"),MID('予定・実績管理 全児童-2025年6月'!F60,LEN('予定・実績管理 全児童-2025年6月'!F60)-1,1),"〇"),"")</f>
        <v>16:00-17:40〇[放]〇〇井〇翔</v>
      </c>
      <c r="G60" s="13" t="str">
        <f>IF('予定・実績管理 全児童-2025年6月'!G60&lt;&gt;"",SUBSTITUTE(REPLACE('予定・実績管理 全児童-2025年6月'!G60,17,1,"〇"),MID('予定・実績管理 全児童-2025年6月'!G60,LEN('予定・実績管理 全児童-2025年6月'!G60)-1,1),"〇"),"")</f>
        <v>10:15-11:55 [放] 〇田 〇音</v>
      </c>
    </row>
    <row r="61" spans="1:7" ht="38.1" customHeight="1">
      <c r="A61" s="13"/>
      <c r="B61" s="13" t="str">
        <f>IF('予定・実績管理 全児童-2025年6月'!B61&lt;&gt;"",SUBSTITUTE(REPLACE('予定・実績管理 全児童-2025年6月'!B61,17,1,"〇"),MID('予定・実績管理 全児童-2025年6月'!B61,LEN('予定・実績管理 全児童-2025年6月'!B61)-1,1),"〇"),"")</f>
        <v>16:00-17:40 [放] 〇野 〇輝</v>
      </c>
      <c r="C61" s="13" t="str">
        <f>IF('予定・実績管理 全児童-2025年6月'!C61&lt;&gt;"",SUBSTITUTE(REPLACE('予定・実績管理 全児童-2025年6月'!C61,17,1,"〇"),MID('予定・実績管理 全児童-2025年6月'!C61,LEN('予定・実績管理 全児童-2025年6月'!C61)-1,1),"〇"),"")</f>
        <v>16:00-17:40 [放] 〇仲 〇大</v>
      </c>
      <c r="D61" s="13" t="str">
        <f>IF('予定・実績管理 全児童-2025年6月'!D61&lt;&gt;"",SUBSTITUTE(REPLACE('予定・実績管理 全児童-2025年6月'!D61,17,1,"〇"),MID('予定・実績管理 全児童-2025年6月'!D61,LEN('予定・実績管理 全児童-2025年6月'!D61)-1,1),"〇"),"")</f>
        <v>16:00-17:40〇[放]〇〇崎〇翼</v>
      </c>
      <c r="E61" s="13" t="str">
        <f>IF('予定・実績管理 全児童-2025年6月'!E61&lt;&gt;"",SUBSTITUTE(REPLACE('予定・実績管理 全児童-2025年6月'!E61,17,1,"〇"),MID('予定・実績管理 全児童-2025年6月'!E61,LEN('予定・実績管理 全児童-2025年6月'!E61)-1,1),"〇"),"")</f>
        <v>17:45-19:25 [放] 〇藤 〇人</v>
      </c>
      <c r="F61" s="13" t="str">
        <f>IF('予定・実績管理 全児童-2025年6月'!F61&lt;&gt;"",SUBSTITUTE(REPLACE('予定・実績管理 全児童-2025年6月'!F61,17,1,"〇"),MID('予定・実績管理 全児童-2025年6月'!F61,LEN('予定・実績管理 全児童-2025年6月'!F61)-1,1),"〇"),"")</f>
        <v>16:00-17:40 [放] 〇部 〇侑</v>
      </c>
      <c r="G61" s="13" t="str">
        <f>IF('予定・実績管理 全児童-2025年6月'!G61&lt;&gt;"",SUBSTITUTE(REPLACE('予定・実績管理 全児童-2025年6月'!G61,17,1,"〇"),MID('予定・実績管理 全児童-2025年6月'!G61,LEN('予定・実績管理 全児童-2025年6月'!G61)-1,1),"〇"),"")</f>
        <v>10:15-11:55 [放] 〇井 〇磨</v>
      </c>
    </row>
    <row r="62" spans="1:7" ht="38.1" customHeight="1">
      <c r="A62" s="13"/>
      <c r="B62" s="13" t="str">
        <f>IF('予定・実績管理 全児童-2025年6月'!B62&lt;&gt;"",SUBSTITUTE(REPLACE('予定・実績管理 全児童-2025年6月'!B62,17,1,"〇"),MID('予定・実績管理 全児童-2025年6月'!B62,LEN('予定・実績管理 全児童-2025年6月'!B62)-1,1),"〇"),"")</f>
        <v>16:00-17:40 [放] 〇木 〇吾</v>
      </c>
      <c r="C62" s="13" t="str">
        <f>IF('予定・実績管理 全児童-2025年6月'!C62&lt;&gt;"",SUBSTITUTE(REPLACE('予定・実績管理 全児童-2025年6月'!C62,17,1,"〇"),MID('予定・実績管理 全児童-2025年6月'!C62,LEN('予定・実績管理 全児童-2025年6月'!C62)-1,1),"〇"),"")</f>
        <v>16:00-17:40 [放] 〇下 〇日</v>
      </c>
      <c r="D62" s="13" t="str">
        <f>IF('予定・実績管理 全児童-2025年6月'!D62&lt;&gt;"",SUBSTITUTE(REPLACE('予定・実績管理 全児童-2025年6月'!D62,17,1,"〇"),MID('予定・実績管理 全児童-2025年6月'!D62,LEN('予定・実績管理 全児童-2025年6月'!D62)-1,1),"〇"),"")</f>
        <v>17:45-19:25 [放] 〇上 〇介</v>
      </c>
      <c r="E62" s="13" t="str">
        <f>IF('予定・実績管理 全児童-2025年6月'!E62&lt;&gt;"",SUBSTITUTE(REPLACE('予定・実績管理 全児童-2025年6月'!E62,17,1,"〇"),MID('予定・実績管理 全児童-2025年6月'!E62,LEN('予定・実績管理 全児童-2025年6月'!E62)-1,1),"〇"),"")</f>
        <v>17:45-19:25 [放] 〇藤 〇虎</v>
      </c>
      <c r="F62" s="13" t="str">
        <f>IF('予定・実績管理 全児童-2025年6月'!F62&lt;&gt;"",SUBSTITUTE(REPLACE('予定・実績管理 全児童-2025年6月'!F62,17,1,"〇"),MID('予定・実績管理 全児童-2025年6月'!F62,LEN('予定・実績管理 全児童-2025年6月'!F62)-1,1),"〇"),"")</f>
        <v>17:45-19:25 [放] 〇本 〇哉</v>
      </c>
      <c r="G62" s="13" t="str">
        <f>IF('予定・実績管理 全児童-2025年6月'!G62&lt;&gt;"",SUBSTITUTE(REPLACE('予定・実績管理 全児童-2025年6月'!G62,17,1,"〇"),MID('予定・実績管理 全児童-2025年6月'!G62,LEN('予定・実績管理 全児童-2025年6月'!G62)-1,1),"〇"),"")</f>
        <v>12:00-13:00 [放] 〇村 〇輝</v>
      </c>
    </row>
    <row r="63" spans="1:7" ht="38.1" customHeight="1">
      <c r="A63" s="13"/>
      <c r="B63" s="13" t="str">
        <f>IF('予定・実績管理 全児童-2025年6月'!B63&lt;&gt;"",SUBSTITUTE(REPLACE('予定・実績管理 全児童-2025年6月'!B63,17,1,"〇"),MID('予定・実績管理 全児童-2025年6月'!B63,LEN('予定・実績管理 全児童-2025年6月'!B63)-1,1),"〇"),"")</f>
        <v>17:45-19:25 [放] 〇藤 実〇里</v>
      </c>
      <c r="C63" s="13" t="str">
        <f>IF('予定・実績管理 全児童-2025年6月'!C63&lt;&gt;"",SUBSTITUTE(REPLACE('予定・実績管理 全児童-2025年6月'!C63,17,1,"〇"),MID('予定・実績管理 全児童-2025年6月'!C63,LEN('予定・実績管理 全児童-2025年6月'!C63)-1,1),"〇"),"")</f>
        <v>17:45-19:25 [放] 〇倉 〇来</v>
      </c>
      <c r="D63" s="13" t="str">
        <f>IF('予定・実績管理 全児童-2025年6月'!D63&lt;&gt;"",SUBSTITUTE(REPLACE('予定・実績管理 全児童-2025年6月'!D63,17,1,"〇"),MID('予定・実績管理 全児童-2025年6月'!D63,LEN('予定・実績管理 全児童-2025年6月'!D63)-1,1),"〇"),"")</f>
        <v>17:45-19:25 [放] 〇斐 〇惺</v>
      </c>
      <c r="E63" s="13" t="str">
        <f>IF('予定・実績管理 全児童-2025年6月'!E63&lt;&gt;"",SUBSTITUTE(REPLACE('予定・実績管理 全児童-2025年6月'!E63,17,1,"〇"),MID('予定・実績管理 全児童-2025年6月'!E63,LEN('予定・実績管理 全児童-2025年6月'!E63)-1,1),"〇"),"")</f>
        <v>17:45-19:25 [放] 〇本 〇真</v>
      </c>
      <c r="F63" s="13" t="str">
        <f>IF('予定・実績管理 全児童-2025年6月'!F63&lt;&gt;"",SUBSTITUTE(REPLACE('予定・実績管理 全児童-2025年6月'!F63,17,1,"〇"),MID('予定・実績管理 全児童-2025年6月'!F63,LEN('予定・実績管理 全児童-2025年6月'!F63)-1,1),"〇"),"")</f>
        <v>17:45-19:25 [放] 〇山 〇弥</v>
      </c>
      <c r="G63" s="13" t="str">
        <f>IF('予定・実績管理 全児童-2025年6月'!G63&lt;&gt;"",SUBSTITUTE(REPLACE('予定・実績管理 全児童-2025年6月'!G63,17,1,"〇"),MID('予定・実績管理 全児童-2025年6月'!G63,LEN('予定・実績管理 全児童-2025年6月'!G63)-1,1),"〇"),"")</f>
        <v>13:00-14:40〇[放]〇〇田〇航</v>
      </c>
    </row>
    <row r="64" spans="1:7" ht="38.1" customHeight="1">
      <c r="A64" s="13"/>
      <c r="B64" s="13" t="str">
        <f>IF('予定・実績管理 全児童-2025年6月'!B64&lt;&gt;"",SUBSTITUTE(REPLACE('予定・実績管理 全児童-2025年6月'!B64,17,1,"〇"),MID('予定・実績管理 全児童-2025年6月'!B64,LEN('予定・実績管理 全児童-2025年6月'!B64)-1,1),"〇"),"")</f>
        <v>17:45-19:25 [放] 〇 〇樹</v>
      </c>
      <c r="C64" s="13" t="str">
        <f>IF('予定・実績管理 全児童-2025年6月'!C64&lt;&gt;"",SUBSTITUTE(REPLACE('予定・実績管理 全児童-2025年6月'!C64,17,1,"〇"),MID('予定・実績管理 全児童-2025年6月'!C64,LEN('予定・実績管理 全児童-2025年6月'!C64)-1,1),"〇"),"")</f>
        <v>17:45-19:25 [放] 〇斐 希〇花</v>
      </c>
      <c r="D64" s="13" t="str">
        <f>IF('予定・実績管理 全児童-2025年6月'!D64&lt;&gt;"",SUBSTITUTE(REPLACE('予定・実績管理 全児童-2025年6月'!D64,17,1,"〇"),MID('予定・実績管理 全児童-2025年6月'!D64,LEN('予定・実績管理 全児童-2025年6月'!D64)-1,1),"〇"),"")</f>
        <v>17:45-19:25〇[放]〇〇口〇岳</v>
      </c>
      <c r="E64" s="13" t="str">
        <f>IF('予定・実績管理 全児童-2025年6月'!E64&lt;&gt;"",SUBSTITUTE(REPLACE('予定・実績管理 全児童-2025年6月'!E64,17,1,"〇"),MID('予定・実績管理 全児童-2025年6月'!E64,LEN('予定・実績管理 全児童-2025年6月'!E64)-1,1),"〇"),"")</f>
        <v>17:45-19:25 [放] 〇蔵原 〇大</v>
      </c>
      <c r="F64" s="13" t="str">
        <f>IF('予定・実績管理 全児童-2025年6月'!F64&lt;&gt;"",SUBSTITUTE(REPLACE('予定・実績管理 全児童-2025年6月'!F64,17,1,"〇"),MID('予定・実績管理 全児童-2025年6月'!F64,LEN('予定・実績管理 全児童-2025年6月'!F64)-1,1),"〇"),"")</f>
        <v>17:45-19:25 [放] 〇田 〇希</v>
      </c>
      <c r="G64" s="13" t="str">
        <f>IF('予定・実績管理 全児童-2025年6月'!G64&lt;&gt;"",SUBSTITUTE(REPLACE('予定・実績管理 全児童-2025年6月'!G64,17,1,"〇"),MID('予定・実績管理 全児童-2025年6月'!G64,LEN('予定・実績管理 全児童-2025年6月'!G64)-1,1),"〇"),"")</f>
        <v>13:00-14:40 [放] 〇本 〇翔</v>
      </c>
    </row>
    <row r="65" spans="1:7" ht="38.1" customHeight="1">
      <c r="A65" s="13"/>
      <c r="B65" s="13" t="str">
        <f>IF('予定・実績管理 全児童-2025年6月'!B65&lt;&gt;"",SUBSTITUTE(REPLACE('予定・実績管理 全児童-2025年6月'!B65,17,1,"〇"),MID('予定・実績管理 全児童-2025年6月'!B65,LEN('予定・実績管理 全児童-2025年6月'!B65)-1,1),"〇"),"")</f>
        <v>17:45-19:25 [放] 〇西 〇生</v>
      </c>
      <c r="C65" s="13" t="str">
        <f>IF('予定・実績管理 全児童-2025年6月'!C65&lt;&gt;"",SUBSTITUTE(REPLACE('予定・実績管理 全児童-2025年6月'!C65,17,1,"〇"),MID('予定・実績管理 全児童-2025年6月'!C65,LEN('予定・実績管理 全児童-2025年6月'!C65)-1,1),"〇"),"")</f>
        <v>17:45-19:25 [放] 〇斐 〇惺</v>
      </c>
      <c r="D65" s="13" t="str">
        <f>IF('予定・実績管理 全児童-2025年6月'!D65&lt;&gt;"",SUBSTITUTE(REPLACE('予定・実績管理 全児童-2025年6月'!D65,17,1,"〇"),MID('予定・実績管理 全児童-2025年6月'!D65,LEN('予定・実績管理 全児童-2025年6月'!D65)-1,1),"〇"),"")</f>
        <v>17:45-19:25 [放] 〇農 〇芽</v>
      </c>
      <c r="E65" s="13" t="str">
        <f>IF('予定・実績管理 全児童-2025年6月'!E65&lt;&gt;"",SUBSTITUTE(REPLACE('予定・実績管理 全児童-2025年6月'!E65,17,1,"〇"),MID('予定・実績管理 全児童-2025年6月'!E65,LEN('予定・実績管理 全児童-2025年6月'!E65)-1,1),"〇"),"")</f>
        <v>17:45-19:25 [放] 〇藤 〇祐</v>
      </c>
      <c r="F65" s="13" t="str">
        <f>IF('予定・実績管理 全児童-2025年6月'!F65&lt;&gt;"",SUBSTITUTE(REPLACE('予定・実績管理 全児童-2025年6月'!F65,17,1,"〇"),MID('予定・実績管理 全児童-2025年6月'!F65,LEN('予定・実績管理 全児童-2025年6月'!F65)-1,1),"〇"),"")</f>
        <v>17:45-19:25〇[放]〇〇水〇悠</v>
      </c>
      <c r="G65" s="13" t="str">
        <f>IF('予定・実績管理 全児童-2025年6月'!G65&lt;&gt;"",SUBSTITUTE(REPLACE('予定・実績管理 全児童-2025年6月'!G65,17,1,"〇"),MID('予定・実績管理 全児童-2025年6月'!G65,LEN('予定・実績管理 全児童-2025年6月'!G65)-1,1),"〇"),"")</f>
        <v>13:00-14:40 [放] 〇本 〇詠</v>
      </c>
    </row>
    <row r="66" spans="1:7" ht="38.1" customHeight="1">
      <c r="A66" s="13"/>
      <c r="B66" s="13" t="str">
        <f>IF('予定・実績管理 全児童-2025年6月'!B66&lt;&gt;"",SUBSTITUTE(REPLACE('予定・実績管理 全児童-2025年6月'!B66,17,1,"〇"),MID('予定・実績管理 全児童-2025年6月'!B66,LEN('予定・実績管理 全児童-2025年6月'!B66)-1,1),"〇"),"")</f>
        <v>17:45-19:25 [放] 〇岡 〇太</v>
      </c>
      <c r="C66" s="13" t="str">
        <f>IF('予定・実績管理 全児童-2025年6月'!C66&lt;&gt;"",SUBSTITUTE(REPLACE('予定・実績管理 全児童-2025年6月'!C66,17,1,"〇"),MID('予定・実績管理 全児童-2025年6月'!C66,LEN('予定・実績管理 全児童-2025年6月'!C66)-1,1),"〇"),"")</f>
        <v>17:45-19:25〇[放]〇〇迫〇紡</v>
      </c>
      <c r="D66" s="13" t="str">
        <f>IF('予定・実績管理 全児童-2025年6月'!D66&lt;&gt;"",SUBSTITUTE(REPLACE('予定・実績管理 全児童-2025年6月'!D66,17,1,"〇"),MID('予定・実績管理 全児童-2025年6月'!D66,LEN('予定・実績管理 全児童-2025年6月'!D66)-1,1),"〇"),"")</f>
        <v>17:45-19:25 [放] 〇田 〇音</v>
      </c>
      <c r="E66" s="13" t="str">
        <f>IF('予定・実績管理 全児童-2025年6月'!E66&lt;&gt;"",SUBSTITUTE(REPLACE('予定・実績管理 全児童-2025年6月'!E66,17,1,"〇"),MID('予定・実績管理 全児童-2025年6月'!E66,LEN('予定・実績管理 全児童-2025年6月'!E66)-1,1),"〇"),"")</f>
        <v>17:45-19:25 [放] 〇田 〇音</v>
      </c>
      <c r="F66" s="13" t="str">
        <f>IF('予定・実績管理 全児童-2025年6月'!F66&lt;&gt;"",SUBSTITUTE(REPLACE('予定・実績管理 全児童-2025年6月'!F66,17,1,"〇"),MID('予定・実績管理 全児童-2025年6月'!F66,LEN('予定・実績管理 全児童-2025年6月'!F66)-1,1),"〇"),"")</f>
        <v>17:45-19:25 [放] 〇野 〇海</v>
      </c>
      <c r="G66" s="13" t="str">
        <f>IF('予定・実績管理 全児童-2025年6月'!G66&lt;&gt;"",SUBSTITUTE(REPLACE('予定・実績管理 全児童-2025年6月'!G66,17,1,"〇"),MID('予定・実績管理 全児童-2025年6月'!G66,LEN('予定・実績管理 全児童-2025年6月'!G66)-1,1),"〇"),"")</f>
        <v>13:00-14:40 [放] 〇内 〇登</v>
      </c>
    </row>
    <row r="67" spans="1:7" ht="38.1" customHeight="1">
      <c r="A67" s="13"/>
      <c r="B67" s="13" t="str">
        <f>IF('予定・実績管理 全児童-2025年6月'!B67&lt;&gt;"",SUBSTITUTE(REPLACE('予定・実績管理 全児童-2025年6月'!B67,17,1,"〇"),MID('予定・実績管理 全児童-2025年6月'!B67,LEN('予定・実績管理 全児童-2025年6月'!B67)-1,1),"〇"),"")</f>
        <v>17:45-19:25 [放] 〇尾 〇斗</v>
      </c>
      <c r="C67" s="13" t="str">
        <f>IF('予定・実績管理 全児童-2025年6月'!C67&lt;&gt;"",SUBSTITUTE(REPLACE('予定・実績管理 全児童-2025年6月'!C67,17,1,"〇"),MID('予定・実績管理 全児童-2025年6月'!C67,LEN('予定・実績管理 全児童-2025年6月'!C67)-1,1),"〇"),"")</f>
        <v>17:45-19:25 [放] 〇浦 〇貴</v>
      </c>
      <c r="D67" s="13" t="str">
        <f>IF('予定・実績管理 全児童-2025年6月'!D67&lt;&gt;"",SUBSTITUTE(REPLACE('予定・実績管理 全児童-2025年6月'!D67,17,1,"〇"),MID('予定・実績管理 全児童-2025年6月'!D67,LEN('予定・実績管理 全児童-2025年6月'!D67)-1,1),"〇"),"")</f>
        <v>17:45-19:25 [放] 〇口 〇己</v>
      </c>
      <c r="E67" s="13" t="str">
        <f>IF('予定・実績管理 全児童-2025年6月'!E67&lt;&gt;"",SUBSTITUTE(REPLACE('予定・実績管理 全児童-2025年6月'!E67,17,1,"〇"),MID('予定・実績管理 全児童-2025年6月'!E67,LEN('予定・実績管理 全児童-2025年6月'!E67)-1,1),"〇"),"")</f>
        <v/>
      </c>
      <c r="F67" s="13" t="str">
        <f>IF('予定・実績管理 全児童-2025年6月'!F67&lt;&gt;"",SUBSTITUTE(REPLACE('予定・実績管理 全児童-2025年6月'!F67,17,1,"〇"),MID('予定・実績管理 全児童-2025年6月'!F67,LEN('予定・実績管理 全児童-2025年6月'!F67)-1,1),"〇"),"")</f>
        <v>17:45-19:25 [放] 〇野 〇子</v>
      </c>
      <c r="G67" s="13" t="str">
        <f>IF('予定・実績管理 全児童-2025年6月'!G67&lt;&gt;"",SUBSTITUTE(REPLACE('予定・実績管理 全児童-2025年6月'!G67,17,1,"〇"),MID('予定・実績管理 全児童-2025年6月'!G67,LEN('予定・実績管理 全児童-2025年6月'!G67)-1,1),"〇"),"")</f>
        <v>13:00-14:40〇[放]〇〇邉〇尊</v>
      </c>
    </row>
    <row r="68" spans="1:7" ht="38.1" customHeight="1">
      <c r="A68" s="13"/>
      <c r="B68" s="13" t="str">
        <f>IF('予定・実績管理 全児童-2025年6月'!B68&lt;&gt;"",SUBSTITUTE(REPLACE('予定・実績管理 全児童-2025年6月'!B68,17,1,"〇"),MID('予定・実績管理 全児童-2025年6月'!B68,LEN('予定・実績管理 全児童-2025年6月'!B68)-1,1),"〇"),"")</f>
        <v/>
      </c>
      <c r="C68" s="13" t="str">
        <f>IF('予定・実績管理 全児童-2025年6月'!C68&lt;&gt;"",SUBSTITUTE(REPLACE('予定・実績管理 全児童-2025年6月'!C68,17,1,"〇"),MID('予定・実績管理 全児童-2025年6月'!C68,LEN('予定・実績管理 全児童-2025年6月'!C68)-1,1),"〇"),"")</f>
        <v>17:45-19:25 [放] 〇原 〇晴</v>
      </c>
      <c r="D68" s="13" t="str">
        <f>IF('予定・実績管理 全児童-2025年6月'!D68&lt;&gt;"",SUBSTITUTE(REPLACE('予定・実績管理 全児童-2025年6月'!D68,17,1,"〇"),MID('予定・実績管理 全児童-2025年6月'!D68,LEN('予定・実績管理 全児童-2025年6月'!D68)-1,1),"〇"),"")</f>
        <v>17:45-19:25 [放] 〇 〇希</v>
      </c>
      <c r="E68" s="13" t="str">
        <f>IF('予定・実績管理 全児童-2025年6月'!E68&lt;&gt;"",SUBSTITUTE(REPLACE('予定・実績管理 全児童-2025年6月'!E68,17,1,"〇"),MID('予定・実績管理 全児童-2025年6月'!E68,LEN('予定・実績管理 全児童-2025年6月'!E68)-1,1),"〇"),"")</f>
        <v/>
      </c>
      <c r="F68" s="13" t="str">
        <f>IF('予定・実績管理 全児童-2025年6月'!F68&lt;&gt;"",SUBSTITUTE(REPLACE('予定・実績管理 全児童-2025年6月'!F68,17,1,"〇"),MID('予定・実績管理 全児童-2025年6月'!F68,LEN('予定・実績管理 全児童-2025年6月'!F68)-1,1),"〇"),"")</f>
        <v>17:45-19:25 [放] 〇岡 〇希</v>
      </c>
      <c r="G68" s="13" t="str">
        <f>IF('予定・実績管理 全児童-2025年6月'!G68&lt;&gt;"",SUBSTITUTE(REPLACE('予定・実績管理 全児童-2025年6月'!G68,17,1,"〇"),MID('予定・実績管理 全児童-2025年6月'!G68,LEN('予定・実績管理 全児童-2025年6月'!G68)-1,1),"〇"),"")</f>
        <v>13:00-14:40 [放] 〇橋 〇希</v>
      </c>
    </row>
    <row r="69" spans="1:7" ht="38.1" customHeight="1">
      <c r="A69" s="13"/>
      <c r="B69" s="13" t="str">
        <f>IF('予定・実績管理 全児童-2025年6月'!B69&lt;&gt;"",SUBSTITUTE(REPLACE('予定・実績管理 全児童-2025年6月'!B69,17,1,"〇"),MID('予定・実績管理 全児童-2025年6月'!B69,LEN('予定・実績管理 全児童-2025年6月'!B69)-1,1),"〇"),"")</f>
        <v/>
      </c>
      <c r="C69" s="13" t="str">
        <f>IF('予定・実績管理 全児童-2025年6月'!C69&lt;&gt;"",SUBSTITUTE(REPLACE('予定・実績管理 全児童-2025年6月'!C69,17,1,"〇"),MID('予定・実績管理 全児童-2025年6月'!C69,LEN('予定・実績管理 全児童-2025年6月'!C69)-1,1),"〇"),"")</f>
        <v>17:45-19:25 [放] 〇井 〇偉</v>
      </c>
      <c r="D69" s="13" t="str">
        <f>IF('予定・実績管理 全児童-2025年6月'!D69&lt;&gt;"",SUBSTITUTE(REPLACE('予定・実績管理 全児童-2025年6月'!D69,17,1,"〇"),MID('予定・実績管理 全児童-2025年6月'!D69,LEN('予定・実績管理 全児童-2025年6月'!D69)-1,1),"〇"),"")</f>
        <v/>
      </c>
      <c r="E69" s="13" t="str">
        <f>IF('予定・実績管理 全児童-2025年6月'!E69&lt;&gt;"",SUBSTITUTE(REPLACE('予定・実績管理 全児童-2025年6月'!E69,17,1,"〇"),MID('予定・実績管理 全児童-2025年6月'!E69,LEN('予定・実績管理 全児童-2025年6月'!E69)-1,1),"〇"),"")</f>
        <v/>
      </c>
      <c r="F69" s="13" t="str">
        <f>IF('予定・実績管理 全児童-2025年6月'!F69&lt;&gt;"",SUBSTITUTE(REPLACE('予定・実績管理 全児童-2025年6月'!F69,17,1,"〇"),MID('予定・実績管理 全児童-2025年6月'!F69,LEN('予定・実績管理 全児童-2025年6月'!F69)-1,1),"〇"),"")</f>
        <v>17:45-19:25〇[放]〇〇岡〇雫</v>
      </c>
      <c r="G69" s="13" t="str">
        <f>IF('予定・実績管理 全児童-2025年6月'!G69&lt;&gt;"",SUBSTITUTE(REPLACE('予定・実績管理 全児童-2025年6月'!G69,17,1,"〇"),MID('予定・実績管理 全児童-2025年6月'!G69,LEN('予定・実績管理 全児童-2025年6月'!G69)-1,1),"〇"),"")</f>
        <v>15:00-16:40 [放] 〇藤 〇斗</v>
      </c>
    </row>
    <row r="70" spans="1:7" ht="38.1" customHeight="1">
      <c r="A70" s="13"/>
      <c r="B70" s="13" t="str">
        <f>IF('予定・実績管理 全児童-2025年6月'!B70&lt;&gt;"",SUBSTITUTE(REPLACE('予定・実績管理 全児童-2025年6月'!B70,17,1,"〇"),MID('予定・実績管理 全児童-2025年6月'!B70,LEN('予定・実績管理 全児童-2025年6月'!B70)-1,1),"〇"),"")</f>
        <v/>
      </c>
      <c r="C70" s="13" t="str">
        <f>IF('予定・実績管理 全児童-2025年6月'!C70&lt;&gt;"",SUBSTITUTE(REPLACE('予定・実績管理 全児童-2025年6月'!C70,17,1,"〇"),MID('予定・実績管理 全児童-2025年6月'!C70,LEN('予定・実績管理 全児童-2025年6月'!C70)-1,1),"〇"),"")</f>
        <v>17:45-19:25 [放] 〇尾 〇斗</v>
      </c>
      <c r="D70" s="13" t="str">
        <f>IF('予定・実績管理 全児童-2025年6月'!D70&lt;&gt;"",SUBSTITUTE(REPLACE('予定・実績管理 全児童-2025年6月'!D70,17,1,"〇"),MID('予定・実績管理 全児童-2025年6月'!D70,LEN('予定・実績管理 全児童-2025年6月'!D70)-1,1),"〇"),"")</f>
        <v/>
      </c>
      <c r="E70" s="13" t="str">
        <f>IF('予定・実績管理 全児童-2025年6月'!E70&lt;&gt;"",SUBSTITUTE(REPLACE('予定・実績管理 全児童-2025年6月'!E70,17,1,"〇"),MID('予定・実績管理 全児童-2025年6月'!E70,LEN('予定・実績管理 全児童-2025年6月'!E70)-1,1),"〇"),"")</f>
        <v/>
      </c>
      <c r="F70" s="13" t="str">
        <f>IF('予定・実績管理 全児童-2025年6月'!F70&lt;&gt;"",SUBSTITUTE(REPLACE('予定・実績管理 全児童-2025年6月'!F70,17,1,"〇"),MID('予定・実績管理 全児童-2025年6月'!F70,LEN('予定・実績管理 全児童-2025年6月'!F70)-1,1),"〇"),"")</f>
        <v>17:45-19:25 [放] 〇郷 蔵〇介</v>
      </c>
      <c r="G70" s="13" t="str">
        <f>IF('予定・実績管理 全児童-2025年6月'!G70&lt;&gt;"",SUBSTITUTE(REPLACE('予定・実績管理 全児童-2025年6月'!G70,17,1,"〇"),MID('予定・実績管理 全児童-2025年6月'!G70,LEN('予定・実績管理 全児童-2025年6月'!G70)-1,1),"〇"),"")</f>
        <v>15:00-16:40 [放] 〇路 〇夢</v>
      </c>
    </row>
    <row r="71" spans="1:7" ht="38.1" customHeight="1">
      <c r="A71" s="13"/>
      <c r="B71" s="13" t="str">
        <f>IF('予定・実績管理 全児童-2025年6月'!B71&lt;&gt;"",SUBSTITUTE(REPLACE('予定・実績管理 全児童-2025年6月'!B71,17,1,"〇"),MID('予定・実績管理 全児童-2025年6月'!B71,LEN('予定・実績管理 全児童-2025年6月'!B71)-1,1),"〇"),"")</f>
        <v/>
      </c>
      <c r="C71" s="13" t="str">
        <f>IF('予定・実績管理 全児童-2025年6月'!C71&lt;&gt;"",SUBSTITUTE(REPLACE('予定・実績管理 全児童-2025年6月'!C71,17,1,"〇"),MID('予定・実績管理 全児童-2025年6月'!C71,LEN('予定・実績管理 全児童-2025年6月'!C71)-1,1),"〇"),"")</f>
        <v/>
      </c>
      <c r="D71" s="13" t="str">
        <f>IF('予定・実績管理 全児童-2025年6月'!D71&lt;&gt;"",SUBSTITUTE(REPLACE('予定・実績管理 全児童-2025年6月'!D71,17,1,"〇"),MID('予定・実績管理 全児童-2025年6月'!D71,LEN('予定・実績管理 全児童-2025年6月'!D71)-1,1),"〇"),"")</f>
        <v/>
      </c>
      <c r="E71" s="13" t="str">
        <f>IF('予定・実績管理 全児童-2025年6月'!E71&lt;&gt;"",SUBSTITUTE(REPLACE('予定・実績管理 全児童-2025年6月'!E71,17,1,"〇"),MID('予定・実績管理 全児童-2025年6月'!E71,LEN('予定・実績管理 全児童-2025年6月'!E71)-1,1),"〇"),"")</f>
        <v/>
      </c>
      <c r="F71" s="13" t="str">
        <f>IF('予定・実績管理 全児童-2025年6月'!F71&lt;&gt;"",SUBSTITUTE(REPLACE('予定・実績管理 全児童-2025年6月'!F71,17,1,"〇"),MID('予定・実績管理 全児童-2025年6月'!F71,LEN('予定・実績管理 全児童-2025年6月'!F71)-1,1),"〇"),"")</f>
        <v/>
      </c>
      <c r="G71" s="13" t="str">
        <f>IF('予定・実績管理 全児童-2025年6月'!G71&lt;&gt;"",SUBSTITUTE(REPLACE('予定・実績管理 全児童-2025年6月'!G71,17,1,"〇"),MID('予定・実績管理 全児童-2025年6月'!G71,LEN('予定・実績管理 全児童-2025年6月'!G71)-1,1),"〇"),"")</f>
        <v>15:00-16:40 [放] 〇山 〇渡</v>
      </c>
    </row>
    <row r="72" spans="1:7" ht="38.1" customHeight="1">
      <c r="A72" s="13"/>
      <c r="B72" s="13" t="str">
        <f>IF('予定・実績管理 全児童-2025年6月'!B72&lt;&gt;"",SUBSTITUTE(REPLACE('予定・実績管理 全児童-2025年6月'!B72,17,1,"〇"),MID('予定・実績管理 全児童-2025年6月'!B72,LEN('予定・実績管理 全児童-2025年6月'!B72)-1,1),"〇"),"")</f>
        <v/>
      </c>
      <c r="C72" s="13" t="str">
        <f>IF('予定・実績管理 全児童-2025年6月'!C72&lt;&gt;"",SUBSTITUTE(REPLACE('予定・実績管理 全児童-2025年6月'!C72,17,1,"〇"),MID('予定・実績管理 全児童-2025年6月'!C72,LEN('予定・実績管理 全児童-2025年6月'!C72)-1,1),"〇"),"")</f>
        <v/>
      </c>
      <c r="D72" s="13" t="str">
        <f>IF('予定・実績管理 全児童-2025年6月'!D72&lt;&gt;"",SUBSTITUTE(REPLACE('予定・実績管理 全児童-2025年6月'!D72,17,1,"〇"),MID('予定・実績管理 全児童-2025年6月'!D72,LEN('予定・実績管理 全児童-2025年6月'!D72)-1,1),"〇"),"")</f>
        <v/>
      </c>
      <c r="E72" s="13" t="str">
        <f>IF('予定・実績管理 全児童-2025年6月'!E72&lt;&gt;"",SUBSTITUTE(REPLACE('予定・実績管理 全児童-2025年6月'!E72,17,1,"〇"),MID('予定・実績管理 全児童-2025年6月'!E72,LEN('予定・実績管理 全児童-2025年6月'!E72)-1,1),"〇"),"")</f>
        <v/>
      </c>
      <c r="F72" s="13" t="str">
        <f>IF('予定・実績管理 全児童-2025年6月'!F72&lt;&gt;"",SUBSTITUTE(REPLACE('予定・実績管理 全児童-2025年6月'!F72,17,1,"〇"),MID('予定・実績管理 全児童-2025年6月'!F72,LEN('予定・実績管理 全児童-2025年6月'!F72)-1,1),"〇"),"")</f>
        <v/>
      </c>
      <c r="G72" s="13" t="str">
        <f>IF('予定・実績管理 全児童-2025年6月'!G72&lt;&gt;"",SUBSTITUTE(REPLACE('予定・実績管理 全児童-2025年6月'!G72,17,1,"〇"),MID('予定・実績管理 全児童-2025年6月'!G72,LEN('予定・実績管理 全児童-2025年6月'!G72)-1,1),"〇"),"")</f>
        <v>15:00-16:40 [放] 〇山 〇美</v>
      </c>
    </row>
    <row r="73" spans="1:7" ht="38.1" customHeight="1">
      <c r="A73" s="13"/>
      <c r="B73" s="13" t="str">
        <f>IF('予定・実績管理 全児童-2025年6月'!B73&lt;&gt;"",SUBSTITUTE(REPLACE('予定・実績管理 全児童-2025年6月'!B73,17,1,"〇"),MID('予定・実績管理 全児童-2025年6月'!B73,LEN('予定・実績管理 全児童-2025年6月'!B73)-1,1),"〇"),"")</f>
        <v/>
      </c>
      <c r="C73" s="13" t="str">
        <f>IF('予定・実績管理 全児童-2025年6月'!C73&lt;&gt;"",SUBSTITUTE(REPLACE('予定・実績管理 全児童-2025年6月'!C73,17,1,"〇"),MID('予定・実績管理 全児童-2025年6月'!C73,LEN('予定・実績管理 全児童-2025年6月'!C73)-1,1),"〇"),"")</f>
        <v/>
      </c>
      <c r="D73" s="13" t="str">
        <f>IF('予定・実績管理 全児童-2025年6月'!D73&lt;&gt;"",SUBSTITUTE(REPLACE('予定・実績管理 全児童-2025年6月'!D73,17,1,"〇"),MID('予定・実績管理 全児童-2025年6月'!D73,LEN('予定・実績管理 全児童-2025年6月'!D73)-1,1),"〇"),"")</f>
        <v/>
      </c>
      <c r="E73" s="13" t="str">
        <f>IF('予定・実績管理 全児童-2025年6月'!E73&lt;&gt;"",SUBSTITUTE(REPLACE('予定・実績管理 全児童-2025年6月'!E73,17,1,"〇"),MID('予定・実績管理 全児童-2025年6月'!E73,LEN('予定・実績管理 全児童-2025年6月'!E73)-1,1),"〇"),"")</f>
        <v/>
      </c>
      <c r="F73" s="13" t="str">
        <f>IF('予定・実績管理 全児童-2025年6月'!F73&lt;&gt;"",SUBSTITUTE(REPLACE('予定・実績管理 全児童-2025年6月'!F73,17,1,"〇"),MID('予定・実績管理 全児童-2025年6月'!F73,LEN('予定・実績管理 全児童-2025年6月'!F73)-1,1),"〇"),"")</f>
        <v/>
      </c>
      <c r="G73" s="13" t="str">
        <f>IF('予定・実績管理 全児童-2025年6月'!G73&lt;&gt;"",SUBSTITUTE(REPLACE('予定・実績管理 全児童-2025年6月'!G73,17,1,"〇"),MID('予定・実績管理 全児童-2025年6月'!G73,LEN('予定・実績管理 全児童-2025年6月'!G73)-1,1),"〇"),"")</f>
        <v>15:00-16:40 [放] 〇本 〇希</v>
      </c>
    </row>
    <row r="74" spans="1:7" ht="75.95" customHeight="1">
      <c r="A74" s="14"/>
      <c r="B74" s="13" t="str">
        <f>IF('予定・実績管理 全児童-2025年6月'!B74&lt;&gt;"",SUBSTITUTE(REPLACE('予定・実績管理 全児童-2025年6月'!B74,17,1,"〇"),MID('予定・実績管理 全児童-2025年6月'!B74,LEN('予定・実績管理 全児童-2025年6月'!B74)-1,1),"〇"),"")</f>
        <v/>
      </c>
      <c r="C74" s="13" t="str">
        <f>IF('予定・実績管理 全児童-2025年6月'!C74&lt;&gt;"",SUBSTITUTE(REPLACE('予定・実績管理 全児童-2025年6月'!C74,17,1,"〇"),MID('予定・実績管理 全児童-2025年6月'!C74,LEN('予定・実績管理 全児童-2025年6月'!C74)-1,1),"〇"),"")</f>
        <v/>
      </c>
      <c r="D74" s="13" t="str">
        <f>IF('予定・実績管理 全児童-2025年6月'!D74&lt;&gt;"",SUBSTITUTE(REPLACE('予定・実績管理 全児童-2025年6月'!D74,17,1,"〇"),MID('予定・実績管理 全児童-2025年6月'!D74,LEN('予定・実績管理 全児童-2025年6月'!D74)-1,1),"〇"),"")</f>
        <v/>
      </c>
      <c r="E74" s="13" t="str">
        <f>IF('予定・実績管理 全児童-2025年6月'!E74&lt;&gt;"",SUBSTITUTE(REPLACE('予定・実績管理 全児童-2025年6月'!E74,17,1,"〇"),MID('予定・実績管理 全児童-2025年6月'!E74,LEN('予定・実績管理 全児童-2025年6月'!E74)-1,1),"〇"),"")</f>
        <v/>
      </c>
      <c r="F74" s="13" t="str">
        <f>IF('予定・実績管理 全児童-2025年6月'!F74&lt;&gt;"",SUBSTITUTE(REPLACE('予定・実績管理 全児童-2025年6月'!F74,17,1,"〇"),MID('予定・実績管理 全児童-2025年6月'!F74,LEN('予定・実績管理 全児童-2025年6月'!F74)-1,1),"〇"),"")</f>
        <v/>
      </c>
      <c r="G74" s="13" t="str">
        <f>IF('予定・実績管理 全児童-2025年6月'!G74&lt;&gt;"",SUBSTITUTE(REPLACE('予定・実績管理 全児童-2025年6月'!G74,17,1,"〇"),MID('予定・実績管理 全児童-2025年6月'!G74,LEN('予定・実績管理 全児童-2025年6月'!G74)-1,1),"〇"),"")</f>
        <v/>
      </c>
    </row>
    <row r="75" spans="1:7" ht="30" customHeight="1">
      <c r="A75" s="12">
        <v>29</v>
      </c>
      <c r="B75" s="12">
        <v>30</v>
      </c>
      <c r="C75" s="12"/>
      <c r="D75" s="12"/>
      <c r="E75" s="12"/>
      <c r="F75" s="12"/>
      <c r="G75" s="12"/>
    </row>
    <row r="76" spans="1:7" ht="38.1" customHeight="1">
      <c r="A76" s="13"/>
      <c r="B76" s="13" t="str">
        <f>IF('予定・実績管理 全児童-2025年6月'!B76&lt;&gt;"",SUBSTITUTE(REPLACE('予定・実績管理 全児童-2025年6月'!B76,17,1,"〇"),MID('予定・実績管理 全児童-2025年6月'!B76,LEN('予定・実績管理 全児童-2025年6月'!B76)-1,1),"〇"),"")</f>
        <v>16:00-17:40 [放] 〇本 〇成</v>
      </c>
      <c r="C76" s="13"/>
      <c r="D76" s="13"/>
      <c r="E76" s="13"/>
      <c r="F76" s="13"/>
      <c r="G76" s="13"/>
    </row>
    <row r="77" spans="1:7" ht="38.1" customHeight="1">
      <c r="A77" s="13"/>
      <c r="B77" s="13" t="str">
        <f>IF('予定・実績管理 全児童-2025年6月'!B77&lt;&gt;"",SUBSTITUTE(REPLACE('予定・実績管理 全児童-2025年6月'!B77,17,1,"〇"),MID('予定・実績管理 全児童-2025年6月'!B77,LEN('予定・実績管理 全児童-2025年6月'!B77)-1,1),"〇"),"")</f>
        <v>16:00-17:40 [放] 〇見渕 〇吾</v>
      </c>
      <c r="C77" s="13"/>
      <c r="D77" s="13"/>
      <c r="E77" s="13"/>
      <c r="F77" s="13"/>
      <c r="G77" s="13"/>
    </row>
    <row r="78" spans="1:7" ht="38.1" customHeight="1">
      <c r="A78" s="13"/>
      <c r="B78" s="13" t="str">
        <f>IF('予定・実績管理 全児童-2025年6月'!B78&lt;&gt;"",SUBSTITUTE(REPLACE('予定・実績管理 全児童-2025年6月'!B78,17,1,"〇"),MID('予定・実績管理 全児童-2025年6月'!B78,LEN('予定・実績管理 全児童-2025年6月'!B78)-1,1),"〇"),"")</f>
        <v>16:00-17:40 [放] 〇前 〇伎</v>
      </c>
      <c r="C78" s="13"/>
      <c r="D78" s="13"/>
      <c r="E78" s="13"/>
      <c r="F78" s="13"/>
      <c r="G78" s="13"/>
    </row>
    <row r="79" spans="1:7" ht="38.1" customHeight="1">
      <c r="A79" s="13"/>
      <c r="B79" s="13" t="str">
        <f>IF('予定・実績管理 全児童-2025年6月'!B79&lt;&gt;"",SUBSTITUTE(REPLACE('予定・実績管理 全児童-2025年6月'!B79,17,1,"〇"),MID('予定・実績管理 全児童-2025年6月'!B79,LEN('予定・実績管理 全児童-2025年6月'!B79)-1,1),"〇"),"")</f>
        <v>16:00-17:40 [放] 〇上 〇太</v>
      </c>
      <c r="C79" s="13"/>
      <c r="D79" s="13"/>
      <c r="E79" s="13"/>
      <c r="F79" s="13"/>
      <c r="G79" s="13"/>
    </row>
    <row r="80" spans="1:7" ht="38.1" customHeight="1">
      <c r="A80" s="13"/>
      <c r="B80" s="13" t="str">
        <f>IF('予定・実績管理 全児童-2025年6月'!B80&lt;&gt;"",SUBSTITUTE(REPLACE('予定・実績管理 全児童-2025年6月'!B80,17,1,"〇"),MID('予定・実績管理 全児童-2025年6月'!B80,LEN('予定・実績管理 全児童-2025年6月'!B80)-1,1),"〇"),"")</f>
        <v>16:00-17:40 [放] 〇野 〇輝</v>
      </c>
      <c r="C80" s="13"/>
      <c r="D80" s="13"/>
      <c r="E80" s="13"/>
      <c r="F80" s="13"/>
      <c r="G80" s="13"/>
    </row>
    <row r="81" spans="1:7" ht="38.1" customHeight="1">
      <c r="A81" s="13"/>
      <c r="B81" s="13" t="str">
        <f>IF('予定・実績管理 全児童-2025年6月'!B81&lt;&gt;"",SUBSTITUTE(REPLACE('予定・実績管理 全児童-2025年6月'!B81,17,1,"〇"),MID('予定・実績管理 全児童-2025年6月'!B81,LEN('予定・実績管理 全児童-2025年6月'!B81)-1,1),"〇"),"")</f>
        <v>16:00-17:40 [放] 〇木 〇吾</v>
      </c>
      <c r="C81" s="13"/>
      <c r="D81" s="13"/>
      <c r="E81" s="13"/>
      <c r="F81" s="13"/>
      <c r="G81" s="13"/>
    </row>
    <row r="82" spans="1:7" ht="38.1" customHeight="1">
      <c r="A82" s="13"/>
      <c r="B82" s="13" t="str">
        <f>IF('予定・実績管理 全児童-2025年6月'!B82&lt;&gt;"",SUBSTITUTE(REPLACE('予定・実績管理 全児童-2025年6月'!B82,17,1,"〇"),MID('予定・実績管理 全児童-2025年6月'!B82,LEN('予定・実績管理 全児童-2025年6月'!B82)-1,1),"〇"),"")</f>
        <v>17:45-19:25 [放] 〇藤 実〇里</v>
      </c>
      <c r="C82" s="13"/>
      <c r="D82" s="13"/>
      <c r="E82" s="13"/>
      <c r="F82" s="13"/>
      <c r="G82" s="13"/>
    </row>
    <row r="83" spans="1:7" ht="38.1" customHeight="1">
      <c r="A83" s="13"/>
      <c r="B83" s="13" t="str">
        <f>IF('予定・実績管理 全児童-2025年6月'!B83&lt;&gt;"",SUBSTITUTE(REPLACE('予定・実績管理 全児童-2025年6月'!B83,17,1,"〇"),MID('予定・実績管理 全児童-2025年6月'!B83,LEN('予定・実績管理 全児童-2025年6月'!B83)-1,1),"〇"),"")</f>
        <v>17:45-19:25 [放] 〇 〇樹</v>
      </c>
      <c r="C83" s="13"/>
      <c r="D83" s="13"/>
      <c r="E83" s="13"/>
      <c r="F83" s="13"/>
      <c r="G83" s="13"/>
    </row>
    <row r="84" spans="1:7" ht="38.1" customHeight="1">
      <c r="A84" s="13"/>
      <c r="B84" s="13" t="str">
        <f>IF('予定・実績管理 全児童-2025年6月'!B84&lt;&gt;"",SUBSTITUTE(REPLACE('予定・実績管理 全児童-2025年6月'!B84,17,1,"〇"),MID('予定・実績管理 全児童-2025年6月'!B84,LEN('予定・実績管理 全児童-2025年6月'!B84)-1,1),"〇"),"")</f>
        <v>17:45-19:25 [放] 〇西 〇生</v>
      </c>
      <c r="C84" s="13"/>
      <c r="D84" s="13"/>
      <c r="E84" s="13"/>
      <c r="F84" s="13"/>
      <c r="G84" s="13"/>
    </row>
    <row r="85" spans="1:7" ht="38.1" customHeight="1">
      <c r="A85" s="13"/>
      <c r="B85" s="13" t="str">
        <f>IF('予定・実績管理 全児童-2025年6月'!B85&lt;&gt;"",SUBSTITUTE(REPLACE('予定・実績管理 全児童-2025年6月'!B85,17,1,"〇"),MID('予定・実績管理 全児童-2025年6月'!B85,LEN('予定・実績管理 全児童-2025年6月'!B85)-1,1),"〇"),"")</f>
        <v>17:45-19:25 [放] 〇岡 〇太</v>
      </c>
      <c r="C85" s="13"/>
      <c r="D85" s="13"/>
      <c r="E85" s="13"/>
      <c r="F85" s="13"/>
      <c r="G85" s="13"/>
    </row>
    <row r="86" spans="1:7" ht="38.1" customHeight="1">
      <c r="A86" s="13"/>
      <c r="B86" s="13" t="str">
        <f>IF('予定・実績管理 全児童-2025年6月'!B86&lt;&gt;"",SUBSTITUTE(REPLACE('予定・実績管理 全児童-2025年6月'!B86,17,1,"〇"),MID('予定・実績管理 全児童-2025年6月'!B86,LEN('予定・実績管理 全児童-2025年6月'!B86)-1,1),"〇"),"")</f>
        <v>17:45-19:25 [放] 〇 航〇朗</v>
      </c>
      <c r="C86" s="13"/>
      <c r="D86" s="13"/>
      <c r="E86" s="13"/>
      <c r="F86" s="13"/>
      <c r="G86" s="13"/>
    </row>
    <row r="87" spans="1:7" ht="75.95" customHeight="1">
      <c r="A87" s="14"/>
      <c r="B87" s="17" t="str">
        <f>IF('予定・実績管理 全児童-2025年6月'!B87&lt;&gt;"",SUBSTITUTE(REPLACE('予定・実績管理 全児童-2025年6月'!B87,17,1,"〇"),MID('予定・実績管理 全児童-2025年6月'!B87,LEN('予定・実績管理 全児童-2025年6月'!B87)-1,1),"〇"),"")</f>
        <v/>
      </c>
      <c r="C87" s="14"/>
      <c r="D87" s="14"/>
      <c r="E87" s="14"/>
      <c r="F87" s="14"/>
      <c r="G87" s="14"/>
    </row>
    <row r="89" spans="1:7" ht="38.1" customHeight="1">
      <c r="A89" s="8" t="s">
        <v>1044</v>
      </c>
    </row>
    <row r="90" spans="1:7" ht="30" customHeight="1">
      <c r="A90" s="15" t="s">
        <v>1045</v>
      </c>
      <c r="B90" s="21" t="s">
        <v>493</v>
      </c>
      <c r="C90" s="21"/>
      <c r="D90" s="21"/>
      <c r="E90" s="21"/>
      <c r="F90" s="21"/>
      <c r="G90" s="21"/>
    </row>
    <row r="91" spans="1:7" ht="38.1" customHeight="1">
      <c r="A91" s="16" t="s">
        <v>1046</v>
      </c>
      <c r="B91" s="20" t="str">
        <f>IF('予定・実績管理 全児童-2025年6月'!B91&lt;&gt;"",SUBSTITUTE(REPLACE('予定・実績管理 全児童-2025年6月'!B91,1,1,"〇"),MID('予定・実績管理 全児童-2025年6月'!B91,LEN('予定・実績管理 全児童-2025年6月'!B91)-1,1),"〇"),"")</f>
        <v>〇矢 莉穂 （1〇）</v>
      </c>
      <c r="C91" s="20" t="str">
        <f>IF('予定・実績管理 全児童-2025年6月'!C91&lt;&gt;"",SUBSTITUTE(REPLACE('予定・実績管理 全児童-2025年6月'!C91,17,1,"〇"),MID('予定・実績管理 全児童-2025年6月'!C91,LEN('予定・実績管理 全児童-2025年6月'!C91)-1,1),"〇"),"")</f>
        <v/>
      </c>
      <c r="D91" s="20" t="str">
        <f>IF('予定・実績管理 全児童-2025年6月'!D91&lt;&gt;"",SUBSTITUTE(REPLACE('予定・実績管理 全児童-2025年6月'!D91,17,1,"〇"),MID('予定・実績管理 全児童-2025年6月'!D91,LEN('予定・実績管理 全児童-2025年6月'!D91)-1,1),"〇"),"")</f>
        <v/>
      </c>
      <c r="E91" s="20" t="str">
        <f>IF('予定・実績管理 全児童-2025年6月'!E91&lt;&gt;"",SUBSTITUTE(REPLACE('予定・実績管理 全児童-2025年6月'!E91,17,1,"〇"),MID('予定・実績管理 全児童-2025年6月'!E91,LEN('予定・実績管理 全児童-2025年6月'!E91)-1,1),"〇"),"")</f>
        <v/>
      </c>
      <c r="F91" s="20" t="str">
        <f>IF('予定・実績管理 全児童-2025年6月'!F91&lt;&gt;"",SUBSTITUTE(REPLACE('予定・実績管理 全児童-2025年6月'!F91,17,1,"〇"),MID('予定・実績管理 全児童-2025年6月'!F91,LEN('予定・実績管理 全児童-2025年6月'!F91)-1,1),"〇"),"")</f>
        <v/>
      </c>
      <c r="G91" s="20" t="str">
        <f>IF('予定・実績管理 全児童-2025年6月'!G91&lt;&gt;"",SUBSTITUTE(REPLACE('予定・実績管理 全児童-2025年6月'!G91,17,1,"〇"),MID('予定・実績管理 全児童-2025年6月'!G91,LEN('予定・実績管理 全児童-2025年6月'!G91)-1,1),"〇"),"")</f>
        <v/>
      </c>
    </row>
    <row r="92" spans="1:7" ht="38.1" customHeight="1">
      <c r="A92" s="16" t="s">
        <v>1048</v>
      </c>
      <c r="B92" s="20" t="str">
        <f>IF('予定・実績管理 全児童-2025年6月'!B92&lt;&gt;"",SUBSTITUTE(REPLACE('予定・実績管理 全児童-2025年6月'!B92,1,1,"〇"),MID('予定・実績管理 全児童-2025年6月'!B92,LEN('予定・実績管理 全児童-2025年6月'!B92)-5,1),"〇"),"")</f>
        <v>〇上 遼太、村山 海〇 （2名）</v>
      </c>
      <c r="C92" s="20" t="str">
        <f>IF('予定・実績管理 全児童-2025年6月'!C92&lt;&gt;"",SUBSTITUTE(REPLACE('予定・実績管理 全児童-2025年6月'!C92,17,1,"〇"),MID('予定・実績管理 全児童-2025年6月'!C92,LEN('予定・実績管理 全児童-2025年6月'!C92)-1,1),"〇"),"")</f>
        <v/>
      </c>
      <c r="D92" s="20" t="str">
        <f>IF('予定・実績管理 全児童-2025年6月'!D92&lt;&gt;"",SUBSTITUTE(REPLACE('予定・実績管理 全児童-2025年6月'!D92,17,1,"〇"),MID('予定・実績管理 全児童-2025年6月'!D92,LEN('予定・実績管理 全児童-2025年6月'!D92)-1,1),"〇"),"")</f>
        <v/>
      </c>
      <c r="E92" s="20" t="str">
        <f>IF('予定・実績管理 全児童-2025年6月'!E92&lt;&gt;"",SUBSTITUTE(REPLACE('予定・実績管理 全児童-2025年6月'!E92,17,1,"〇"),MID('予定・実績管理 全児童-2025年6月'!E92,LEN('予定・実績管理 全児童-2025年6月'!E92)-1,1),"〇"),"")</f>
        <v/>
      </c>
      <c r="F92" s="20" t="str">
        <f>IF('予定・実績管理 全児童-2025年6月'!F92&lt;&gt;"",SUBSTITUTE(REPLACE('予定・実績管理 全児童-2025年6月'!F92,17,1,"〇"),MID('予定・実績管理 全児童-2025年6月'!F92,LEN('予定・実績管理 全児童-2025年6月'!F92)-1,1),"〇"),"")</f>
        <v/>
      </c>
      <c r="G92" s="20" t="str">
        <f>IF('予定・実績管理 全児童-2025年6月'!G92&lt;&gt;"",SUBSTITUTE(REPLACE('予定・実績管理 全児童-2025年6月'!G92,17,1,"〇"),MID('予定・実績管理 全児童-2025年6月'!G92,LEN('予定・実績管理 全児童-2025年6月'!G92)-1,1),"〇"),"")</f>
        <v/>
      </c>
    </row>
    <row r="93" spans="1:7" ht="38.1" customHeight="1">
      <c r="A93" s="16" t="s">
        <v>1050</v>
      </c>
      <c r="B93" s="20" t="str">
        <f>IF('予定・実績管理 全児童-2025年6月'!B93&lt;&gt;"",SUBSTITUTE(REPLACE('予定・実績管理 全児童-2025年6月'!B93,1,1,"〇"),MID('予定・実績管理 全児童-2025年6月'!B93,LEN('予定・実績管理 全児童-2025年6月'!B93)-5,1),"〇"),"")</f>
        <v>〇元 舜太、山口 〇 （2名）</v>
      </c>
      <c r="C93" s="20" t="str">
        <f>IF('予定・実績管理 全児童-2025年6月'!C93&lt;&gt;"",SUBSTITUTE(REPLACE('予定・実績管理 全児童-2025年6月'!C93,17,1,"〇"),MID('予定・実績管理 全児童-2025年6月'!C93,LEN('予定・実績管理 全児童-2025年6月'!C93)-1,1),"〇"),"")</f>
        <v/>
      </c>
      <c r="D93" s="20" t="str">
        <f>IF('予定・実績管理 全児童-2025年6月'!D93&lt;&gt;"",SUBSTITUTE(REPLACE('予定・実績管理 全児童-2025年6月'!D93,17,1,"〇"),MID('予定・実績管理 全児童-2025年6月'!D93,LEN('予定・実績管理 全児童-2025年6月'!D93)-1,1),"〇"),"")</f>
        <v/>
      </c>
      <c r="E93" s="20" t="str">
        <f>IF('予定・実績管理 全児童-2025年6月'!E93&lt;&gt;"",SUBSTITUTE(REPLACE('予定・実績管理 全児童-2025年6月'!E93,17,1,"〇"),MID('予定・実績管理 全児童-2025年6月'!E93,LEN('予定・実績管理 全児童-2025年6月'!E93)-1,1),"〇"),"")</f>
        <v/>
      </c>
      <c r="F93" s="20" t="str">
        <f>IF('予定・実績管理 全児童-2025年6月'!F93&lt;&gt;"",SUBSTITUTE(REPLACE('予定・実績管理 全児童-2025年6月'!F93,17,1,"〇"),MID('予定・実績管理 全児童-2025年6月'!F93,LEN('予定・実績管理 全児童-2025年6月'!F93)-1,1),"〇"),"")</f>
        <v/>
      </c>
      <c r="G93" s="20" t="str">
        <f>IF('予定・実績管理 全児童-2025年6月'!G93&lt;&gt;"",SUBSTITUTE(REPLACE('予定・実績管理 全児童-2025年6月'!G93,17,1,"〇"),MID('予定・実績管理 全児童-2025年6月'!G93,LEN('予定・実績管理 全児童-2025年6月'!G93)-1,1),"〇"),"")</f>
        <v/>
      </c>
    </row>
    <row r="94" spans="1:7" ht="38.1" customHeight="1">
      <c r="A94" s="16" t="s">
        <v>1052</v>
      </c>
      <c r="B94" s="20" t="str">
        <f>IF('予定・実績管理 全児童-2025年6月'!B94&lt;&gt;"",SUBSTITUTE(REPLACE('予定・実績管理 全児童-2025年6月'!B94,1,1,"〇"),MID('予定・実績管理 全児童-2025年6月'!B94,LEN('予定・実績管理 全児童-2025年6月'!B94)-1,1),"〇"),"")</f>
        <v>〇迫 紡 （1〇）</v>
      </c>
      <c r="C94" s="20" t="str">
        <f>IF('予定・実績管理 全児童-2025年6月'!C94&lt;&gt;"",SUBSTITUTE(REPLACE('予定・実績管理 全児童-2025年6月'!C94,17,1,"〇"),MID('予定・実績管理 全児童-2025年6月'!C94,LEN('予定・実績管理 全児童-2025年6月'!C94)-1,1),"〇"),"")</f>
        <v/>
      </c>
      <c r="D94" s="20" t="str">
        <f>IF('予定・実績管理 全児童-2025年6月'!D94&lt;&gt;"",SUBSTITUTE(REPLACE('予定・実績管理 全児童-2025年6月'!D94,17,1,"〇"),MID('予定・実績管理 全児童-2025年6月'!D94,LEN('予定・実績管理 全児童-2025年6月'!D94)-1,1),"〇"),"")</f>
        <v/>
      </c>
      <c r="E94" s="20" t="str">
        <f>IF('予定・実績管理 全児童-2025年6月'!E94&lt;&gt;"",SUBSTITUTE(REPLACE('予定・実績管理 全児童-2025年6月'!E94,17,1,"〇"),MID('予定・実績管理 全児童-2025年6月'!E94,LEN('予定・実績管理 全児童-2025年6月'!E94)-1,1),"〇"),"")</f>
        <v/>
      </c>
      <c r="F94" s="20" t="str">
        <f>IF('予定・実績管理 全児童-2025年6月'!F94&lt;&gt;"",SUBSTITUTE(REPLACE('予定・実績管理 全児童-2025年6月'!F94,17,1,"〇"),MID('予定・実績管理 全児童-2025年6月'!F94,LEN('予定・実績管理 全児童-2025年6月'!F94)-1,1),"〇"),"")</f>
        <v/>
      </c>
      <c r="G94" s="20" t="str">
        <f>IF('予定・実績管理 全児童-2025年6月'!G94&lt;&gt;"",SUBSTITUTE(REPLACE('予定・実績管理 全児童-2025年6月'!G94,17,1,"〇"),MID('予定・実績管理 全児童-2025年6月'!G94,LEN('予定・実績管理 全児童-2025年6月'!G94)-1,1),"〇"),"")</f>
        <v/>
      </c>
    </row>
    <row r="95" spans="1:7" ht="38.1" customHeight="1">
      <c r="A95" s="16" t="s">
        <v>1054</v>
      </c>
      <c r="B95" s="20" t="str">
        <f>IF('予定・実績管理 全児童-2025年6月'!B95&lt;&gt;"",SUBSTITUTE(REPLACE('予定・実績管理 全児童-2025年6月'!B95,1,1,"〇"),MID('予定・実績管理 全児童-2025年6月'!B95,LEN('予定・実績管理 全児童-2025年6月'!B95)-1,1),"〇"),"")</f>
        <v>〇口 瑛己 （1〇）</v>
      </c>
      <c r="C95" s="20" t="str">
        <f>IF('予定・実績管理 全児童-2025年6月'!C95&lt;&gt;"",SUBSTITUTE(REPLACE('予定・実績管理 全児童-2025年6月'!C95,17,1,"〇"),MID('予定・実績管理 全児童-2025年6月'!C95,LEN('予定・実績管理 全児童-2025年6月'!C95)-1,1),"〇"),"")</f>
        <v/>
      </c>
      <c r="D95" s="20" t="str">
        <f>IF('予定・実績管理 全児童-2025年6月'!D95&lt;&gt;"",SUBSTITUTE(REPLACE('予定・実績管理 全児童-2025年6月'!D95,17,1,"〇"),MID('予定・実績管理 全児童-2025年6月'!D95,LEN('予定・実績管理 全児童-2025年6月'!D95)-1,1),"〇"),"")</f>
        <v/>
      </c>
      <c r="E95" s="20" t="str">
        <f>IF('予定・実績管理 全児童-2025年6月'!E95&lt;&gt;"",SUBSTITUTE(REPLACE('予定・実績管理 全児童-2025年6月'!E95,17,1,"〇"),MID('予定・実績管理 全児童-2025年6月'!E95,LEN('予定・実績管理 全児童-2025年6月'!E95)-1,1),"〇"),"")</f>
        <v/>
      </c>
      <c r="F95" s="20" t="str">
        <f>IF('予定・実績管理 全児童-2025年6月'!F95&lt;&gt;"",SUBSTITUTE(REPLACE('予定・実績管理 全児童-2025年6月'!F95,17,1,"〇"),MID('予定・実績管理 全児童-2025年6月'!F95,LEN('予定・実績管理 全児童-2025年6月'!F95)-1,1),"〇"),"")</f>
        <v/>
      </c>
      <c r="G95" s="20" t="str">
        <f>IF('予定・実績管理 全児童-2025年6月'!G95&lt;&gt;"",SUBSTITUTE(REPLACE('予定・実績管理 全児童-2025年6月'!G95,17,1,"〇"),MID('予定・実績管理 全児童-2025年6月'!G95,LEN('予定・実績管理 全児童-2025年6月'!G95)-1,1),"〇"),"")</f>
        <v/>
      </c>
    </row>
  </sheetData>
  <sheetProtection algorithmName="SHA-512" hashValue="VVoStljAXElAcJ1uVgv9qdflaXE20ETt40ecFsxlsRJ+UDJQJiX5H5KkSzfEuv1kJwZDlkjC9PfIYT8D/46BPg==" saltValue="HL9a7aBP05fe/quCOjgT4w==" spinCount="100000" sheet="1" objects="1" scenarios="1"/>
  <mergeCells count="6">
    <mergeCell ref="B95:G95"/>
    <mergeCell ref="B90:G90"/>
    <mergeCell ref="B91:G91"/>
    <mergeCell ref="B92:G92"/>
    <mergeCell ref="B93:G93"/>
    <mergeCell ref="B94:G94"/>
  </mergeCells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FE0029E7B0FE4DB62591C23E020183" ma:contentTypeVersion="13" ma:contentTypeDescription="新しいドキュメントを作成します。" ma:contentTypeScope="" ma:versionID="1259e0dc16ab775c0471c8abda77ee7d">
  <xsd:schema xmlns:xsd="http://www.w3.org/2001/XMLSchema" xmlns:xs="http://www.w3.org/2001/XMLSchema" xmlns:p="http://schemas.microsoft.com/office/2006/metadata/properties" xmlns:ns2="90917540-6afe-4e1b-bca6-4cd5b18485f9" xmlns:ns3="7f2b1a0f-fc84-48f7-a40c-6da92981cde5" targetNamespace="http://schemas.microsoft.com/office/2006/metadata/properties" ma:root="true" ma:fieldsID="858919f1920d6219a3c4eba98e237ca4" ns2:_="" ns3:_="">
    <xsd:import namespace="90917540-6afe-4e1b-bca6-4cd5b18485f9"/>
    <xsd:import namespace="7f2b1a0f-fc84-48f7-a40c-6da92981cd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17540-6afe-4e1b-bca6-4cd5b1848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d481afc-0513-4a41-8bea-3502c32433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b1a0f-fc84-48f7-a40c-6da92981cd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ed064f0-de9e-4dd7-bc71-e9431a351568}" ma:internalName="TaxCatchAll" ma:showField="CatchAllData" ma:web="7f2b1a0f-fc84-48f7-a40c-6da92981c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b1a0f-fc84-48f7-a40c-6da92981cde5" xsi:nil="true"/>
    <lcf76f155ced4ddcb4097134ff3c332f xmlns="90917540-6afe-4e1b-bca6-4cd5b18485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A216E5-7DA8-4CE5-8810-0E97A8FF4319}"/>
</file>

<file path=customXml/itemProps2.xml><?xml version="1.0" encoding="utf-8"?>
<ds:datastoreItem xmlns:ds="http://schemas.openxmlformats.org/officeDocument/2006/customXml" ds:itemID="{473E9FB8-3968-4D2C-AFDE-9D17C3069E11}"/>
</file>

<file path=customXml/itemProps3.xml><?xml version="1.0" encoding="utf-8"?>
<ds:datastoreItem xmlns:ds="http://schemas.openxmlformats.org/officeDocument/2006/customXml" ds:itemID="{E992C56D-5160-401F-AF8F-FDC94D498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中辻 幸二</dc:creator>
  <cp:keywords/>
  <dc:description/>
  <cp:lastModifiedBy>吉田 明弘</cp:lastModifiedBy>
  <cp:revision/>
  <dcterms:created xsi:type="dcterms:W3CDTF">2025-06-19T00:13:04Z</dcterms:created>
  <dcterms:modified xsi:type="dcterms:W3CDTF">2025-06-25T02:31:26Z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0x01010081FE0029E7B0FE4DB62591C23E020183</vt:lpwstr>
  </property>
  <property fmtid="{D5CDD505-2E9C-101B-9397-08002B2CF9AE}" pid="3" name="MediaServiceImageTags">
    <vt:lpwstr/>
  </property>
</Properties>
</file>